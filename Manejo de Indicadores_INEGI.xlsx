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ava\Downloads\"/>
    </mc:Choice>
  </mc:AlternateContent>
  <xr:revisionPtr revIDLastSave="0" documentId="13_ncr:1_{2B14687D-040A-4B98-8248-B2E43D824840}" xr6:coauthVersionLast="47" xr6:coauthVersionMax="47" xr10:uidLastSave="{00000000-0000-0000-0000-000000000000}"/>
  <bookViews>
    <workbookView xWindow="-108" yWindow="-108" windowWidth="23256" windowHeight="12456" xr2:uid="{8863F021-1D01-40B2-8BED-361F492F0932}"/>
  </bookViews>
  <sheets>
    <sheet name="INFLACIÓN " sheetId="1" r:id="rId1"/>
    <sheet name="PIB " sheetId="2" r:id="rId2"/>
  </sheets>
  <externalReferences>
    <externalReference r:id="rId3"/>
  </externalReferences>
  <definedNames>
    <definedName name="_xlnm._FilterDatabase" localSheetId="0" hidden="1">'INFLACIÓN '!$P$5:$AA$41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E23" i="2" l="1"/>
  <c r="AE34" i="2" s="1"/>
  <c r="AC21" i="2"/>
  <c r="AC32" i="2" s="1"/>
  <c r="AA19" i="2"/>
  <c r="AA30" i="2" s="1"/>
  <c r="AE13" i="2"/>
  <c r="AE25" i="2" s="1"/>
  <c r="AE36" i="2" s="1"/>
  <c r="AD13" i="2"/>
  <c r="AC13" i="2"/>
  <c r="AC25" i="2" s="1"/>
  <c r="AC36" i="2" s="1"/>
  <c r="AB13" i="2"/>
  <c r="AA13" i="2"/>
  <c r="AA25" i="2" s="1"/>
  <c r="AA36" i="2" s="1"/>
  <c r="Z13" i="2"/>
  <c r="Z25" i="2" s="1"/>
  <c r="Z36" i="2" s="1"/>
  <c r="Y13" i="2"/>
  <c r="Y25" i="2" s="1"/>
  <c r="Y36" i="2" s="1"/>
  <c r="AE12" i="2"/>
  <c r="AE24" i="2" s="1"/>
  <c r="AE35" i="2" s="1"/>
  <c r="AD12" i="2"/>
  <c r="AD25" i="2" s="1"/>
  <c r="AD36" i="2" s="1"/>
  <c r="AC12" i="2"/>
  <c r="AC24" i="2" s="1"/>
  <c r="AC35" i="2" s="1"/>
  <c r="AB12" i="2"/>
  <c r="AB24" i="2" s="1"/>
  <c r="AB35" i="2" s="1"/>
  <c r="AA12" i="2"/>
  <c r="AA24" i="2" s="1"/>
  <c r="AA35" i="2" s="1"/>
  <c r="Z12" i="2"/>
  <c r="Z24" i="2" s="1"/>
  <c r="Z35" i="2" s="1"/>
  <c r="Y12" i="2"/>
  <c r="Y24" i="2" s="1"/>
  <c r="Y35" i="2" s="1"/>
  <c r="AE11" i="2"/>
  <c r="AD11" i="2"/>
  <c r="AD23" i="2" s="1"/>
  <c r="AD34" i="2" s="1"/>
  <c r="AC11" i="2"/>
  <c r="AC23" i="2" s="1"/>
  <c r="AC34" i="2" s="1"/>
  <c r="AB11" i="2"/>
  <c r="AA11" i="2"/>
  <c r="AA23" i="2" s="1"/>
  <c r="AA34" i="2" s="1"/>
  <c r="Z11" i="2"/>
  <c r="Y11" i="2"/>
  <c r="Y23" i="2" s="1"/>
  <c r="Y34" i="2" s="1"/>
  <c r="AE10" i="2"/>
  <c r="AE22" i="2" s="1"/>
  <c r="AE33" i="2" s="1"/>
  <c r="AD10" i="2"/>
  <c r="AD22" i="2" s="1"/>
  <c r="AD33" i="2" s="1"/>
  <c r="AC10" i="2"/>
  <c r="AC22" i="2" s="1"/>
  <c r="AC33" i="2" s="1"/>
  <c r="AB10" i="2"/>
  <c r="AB23" i="2" s="1"/>
  <c r="AB34" i="2" s="1"/>
  <c r="AA10" i="2"/>
  <c r="AA22" i="2" s="1"/>
  <c r="AA33" i="2" s="1"/>
  <c r="Z10" i="2"/>
  <c r="Z23" i="2" s="1"/>
  <c r="Z34" i="2" s="1"/>
  <c r="Y10" i="2"/>
  <c r="Y22" i="2" s="1"/>
  <c r="Y33" i="2" s="1"/>
  <c r="AE9" i="2"/>
  <c r="AE21" i="2" s="1"/>
  <c r="AE32" i="2" s="1"/>
  <c r="AD9" i="2"/>
  <c r="AD21" i="2" s="1"/>
  <c r="AD32" i="2" s="1"/>
  <c r="AC9" i="2"/>
  <c r="AB9" i="2"/>
  <c r="AB21" i="2" s="1"/>
  <c r="AB32" i="2" s="1"/>
  <c r="AA9" i="2"/>
  <c r="AA21" i="2" s="1"/>
  <c r="AA32" i="2" s="1"/>
  <c r="Z9" i="2"/>
  <c r="Y9" i="2"/>
  <c r="Y21" i="2" s="1"/>
  <c r="Y32" i="2" s="1"/>
  <c r="AE8" i="2"/>
  <c r="AD8" i="2"/>
  <c r="AD20" i="2" s="1"/>
  <c r="AD31" i="2" s="1"/>
  <c r="AC8" i="2"/>
  <c r="AC20" i="2" s="1"/>
  <c r="AC31" i="2" s="1"/>
  <c r="AB8" i="2"/>
  <c r="AB20" i="2" s="1"/>
  <c r="AB31" i="2" s="1"/>
  <c r="AA8" i="2"/>
  <c r="AA20" i="2" s="1"/>
  <c r="AA31" i="2" s="1"/>
  <c r="Z8" i="2"/>
  <c r="Z21" i="2" s="1"/>
  <c r="Z32" i="2" s="1"/>
  <c r="Y8" i="2"/>
  <c r="Y20" i="2" s="1"/>
  <c r="Y31" i="2" s="1"/>
  <c r="AE7" i="2"/>
  <c r="AE20" i="2" s="1"/>
  <c r="AE31" i="2" s="1"/>
  <c r="AD7" i="2"/>
  <c r="AD19" i="2" s="1"/>
  <c r="AD30" i="2" s="1"/>
  <c r="AC7" i="2"/>
  <c r="AC19" i="2" s="1"/>
  <c r="AC30" i="2" s="1"/>
  <c r="AB7" i="2"/>
  <c r="AB19" i="2" s="1"/>
  <c r="AB30" i="2" s="1"/>
  <c r="AA7" i="2"/>
  <c r="Z7" i="2"/>
  <c r="Z19" i="2" s="1"/>
  <c r="Z30" i="2" s="1"/>
  <c r="Y7" i="2"/>
  <c r="Y19" i="2" s="1"/>
  <c r="Y30" i="2" s="1"/>
  <c r="AE6" i="2"/>
  <c r="AD6" i="2"/>
  <c r="AC6" i="2"/>
  <c r="AB6" i="2"/>
  <c r="AA6" i="2"/>
  <c r="Z6" i="2"/>
  <c r="Y6" i="2"/>
  <c r="AE19" i="2" l="1"/>
  <c r="AE30" i="2" s="1"/>
  <c r="AB22" i="2"/>
  <c r="AB33" i="2" s="1"/>
  <c r="Z22" i="2"/>
  <c r="Z33" i="2" s="1"/>
  <c r="Z20" i="2"/>
  <c r="Z31" i="2" s="1"/>
  <c r="AB25" i="2"/>
  <c r="AB36" i="2" s="1"/>
  <c r="AD24" i="2"/>
  <c r="AD35" i="2" s="1"/>
</calcChain>
</file>

<file path=xl/sharedStrings.xml><?xml version="1.0" encoding="utf-8"?>
<sst xmlns="http://schemas.openxmlformats.org/spreadsheetml/2006/main" count="130" uniqueCount="98">
  <si>
    <t>Instituto Nacional de Estadística y Geografía (INEGI)</t>
  </si>
  <si>
    <t>Banco de Información Económica (BIE)</t>
  </si>
  <si>
    <t>Fecha de consulta: 18/04/2026 01:28:06</t>
  </si>
  <si>
    <t>Periodos</t>
  </si>
  <si>
    <t>Indicadores económicos de coyuntura &gt; Índices de precios &gt; Índice Nacional de Precios al Consumidor. Base segunda quincena Julio 2018. Actualización de Canasta y Ponderadores 2024 &gt; Mensual &gt; Inflación mensual interanual &gt; Índice general /f1 (Variación Porcentual)  Mensual</t>
  </si>
  <si>
    <t>Indicadores económicos de coyuntura &gt; Índices de precios &gt; Índice Nacional de Precios al Consumidor. Base segunda quincena Julio 2018. Actualización de Canasta y Ponderadores 2024 &gt; Mensual &gt; Inflación mensual interanual &gt; Subyacente &gt; total /f1 (Variación Porcentual)  Mensual</t>
  </si>
  <si>
    <t>Indicadores económicos de coyuntura &gt; Índices de precios &gt; Índice Nacional de Precios al Consumidor. Base segunda quincena Julio 2018. Actualización de Canasta y Ponderadores 2024 &gt; Mensual &gt; Inflación mensual interanual &gt; No subyacente &gt; total /f1 (Variación Porcentual)  Mensual</t>
  </si>
  <si>
    <t xml:space="preserve">Fecha </t>
  </si>
  <si>
    <t xml:space="preserve">General </t>
  </si>
  <si>
    <t>Subyacente</t>
  </si>
  <si>
    <t xml:space="preserve">No Subyacente </t>
  </si>
  <si>
    <t xml:space="preserve">Base </t>
  </si>
  <si>
    <t xml:space="preserve">Banda </t>
  </si>
  <si>
    <t>2023/01</t>
  </si>
  <si>
    <t>2023/02</t>
  </si>
  <si>
    <t>2023/03</t>
  </si>
  <si>
    <t>2023/04</t>
  </si>
  <si>
    <t>2023/05</t>
  </si>
  <si>
    <t>2023/06</t>
  </si>
  <si>
    <t>2023/07</t>
  </si>
  <si>
    <t>2023/08</t>
  </si>
  <si>
    <t>2023/09</t>
  </si>
  <si>
    <t>2023/10</t>
  </si>
  <si>
    <t>2023/11</t>
  </si>
  <si>
    <t>2023/12</t>
  </si>
  <si>
    <t>2024/01</t>
  </si>
  <si>
    <t>2024/02</t>
  </si>
  <si>
    <t>2024/03</t>
  </si>
  <si>
    <t>2024/04</t>
  </si>
  <si>
    <t>2024/05</t>
  </si>
  <si>
    <t>2024/06</t>
  </si>
  <si>
    <t>2024/07</t>
  </si>
  <si>
    <t>2024/08</t>
  </si>
  <si>
    <t>2024/09</t>
  </si>
  <si>
    <t>2024/10</t>
  </si>
  <si>
    <t>2024/11</t>
  </si>
  <si>
    <t>2024/12</t>
  </si>
  <si>
    <t>2025/01</t>
  </si>
  <si>
    <t>2025/02</t>
  </si>
  <si>
    <t>2025/03</t>
  </si>
  <si>
    <t>2025/04</t>
  </si>
  <si>
    <t>2025/05</t>
  </si>
  <si>
    <t>2025/06</t>
  </si>
  <si>
    <t>2025/07</t>
  </si>
  <si>
    <t>2025/08</t>
  </si>
  <si>
    <t>2025/09</t>
  </si>
  <si>
    <t>2025/10</t>
  </si>
  <si>
    <t>2025/11</t>
  </si>
  <si>
    <t>2025/12</t>
  </si>
  <si>
    <t>2026/01</t>
  </si>
  <si>
    <t>2026/02</t>
  </si>
  <si>
    <t>2026/03</t>
  </si>
  <si>
    <t>Fuente:</t>
  </si>
  <si>
    <t>/f1 INEGI. Índice Nacional de Precios al Consumidor (INPC).</t>
  </si>
  <si>
    <t>Fecha de consulta: 18/04/2026 20:40:04</t>
  </si>
  <si>
    <t xml:space="preserve">Anual </t>
  </si>
  <si>
    <t>Indicadores económicos de coyuntura &gt; Oferta y demanda global de bienes y servicios, base 2018 &gt; Series Originales &gt; A precios constantes &gt; Oferta &gt; Valores absolutos &gt; Producto interno bruto  /f1 (Millones de  pesos a precios de 2018)  Trimestral</t>
  </si>
  <si>
    <t>Indicadores económicos de coyuntura &gt; Oferta y demanda global de bienes y servicios, base 2018 &gt; Series Originales &gt; A precios constantes &gt; Oferta &gt; Valores absolutos &gt; Importaciones de bienes y servicios  /f1 (Millones de  pesos a precios de 2018)  Trimestral</t>
  </si>
  <si>
    <t>Indicadores económicos de coyuntura &gt; Oferta y demanda global de bienes y servicios, base 2018 &gt; Series Originales &gt; A precios constantes &gt; Demanda &gt; Valores absolutos &gt; Consumo privado  /f1 (Millones de  pesos a precios de 2018)  Trimestral</t>
  </si>
  <si>
    <t>Indicadores económicos de coyuntura &gt; Oferta y demanda global de bienes y servicios, base 2018 &gt; Series Originales &gt; A precios constantes &gt; Demanda &gt; Valores absolutos &gt; Consumo de gobierno  /f1 (Millones de  pesos a precios de 2018)  Trimestral</t>
  </si>
  <si>
    <t>Indicadores económicos de coyuntura &gt; Oferta y demanda global de bienes y servicios, base 2018 &gt; Series Originales &gt; A precios constantes &gt; Demanda &gt; Valores absolutos &gt; Exportaciones de bienes y servicios  /f1 (Millones de  pesos a precios de 2018)  Trimestral</t>
  </si>
  <si>
    <t>Cuentas nacionales &gt; Oferta y utilización total de bienes y servicios, base 2018 &gt; Series Originales &gt; A precios constantes &gt; Valores absolutos &gt; Formación bruta de capital fijo por tipo de bien y comprador &gt; Total &gt; Privada /f1 (Millones de  pesos a precios de 2018)  Trimestral</t>
  </si>
  <si>
    <t>Cuentas nacionales &gt; Oferta y utilización total de bienes y servicios, base 2018 &gt; Series Originales &gt; A precios constantes &gt; Valores absolutos &gt; Formación bruta de capital fijo por tipo de bien y comprador &gt; Total &gt; Pública /f1 (Millones de  pesos a precios de 2018)  Trimestral</t>
  </si>
  <si>
    <t xml:space="preserve">PIB </t>
  </si>
  <si>
    <t>Imports.</t>
  </si>
  <si>
    <t xml:space="preserve">C. Privado </t>
  </si>
  <si>
    <t>C. Público</t>
  </si>
  <si>
    <t xml:space="preserve">Exports. </t>
  </si>
  <si>
    <t>Inv. Privada</t>
  </si>
  <si>
    <t xml:space="preserve">Inv. Pública </t>
  </si>
  <si>
    <t>2018/01</t>
  </si>
  <si>
    <t>2018/02</t>
  </si>
  <si>
    <t>2018/03</t>
  </si>
  <si>
    <t>2018/04</t>
  </si>
  <si>
    <t>2019/01</t>
  </si>
  <si>
    <t>2019/02</t>
  </si>
  <si>
    <t>2019/03</t>
  </si>
  <si>
    <t>2019/04</t>
  </si>
  <si>
    <t>2020/01</t>
  </si>
  <si>
    <t>2020/02</t>
  </si>
  <si>
    <t>2020/03</t>
  </si>
  <si>
    <t>2020/04</t>
  </si>
  <si>
    <t>Contribuciones</t>
  </si>
  <si>
    <t>2021/01</t>
  </si>
  <si>
    <t>2021/02</t>
  </si>
  <si>
    <t>2021/03</t>
  </si>
  <si>
    <t>2021/04</t>
  </si>
  <si>
    <t>2022/01</t>
  </si>
  <si>
    <t>2022/02</t>
  </si>
  <si>
    <t>2022/03</t>
  </si>
  <si>
    <t>2022/04</t>
  </si>
  <si>
    <t>Gráfica</t>
  </si>
  <si>
    <t>2025/01 /r1</t>
  </si>
  <si>
    <t xml:space="preserve">Cifras Preliminares: </t>
  </si>
  <si>
    <t>/p1 Preliminar</t>
  </si>
  <si>
    <t xml:space="preserve">Cifras Revisadas: </t>
  </si>
  <si>
    <t>/r1 Revisada</t>
  </si>
  <si>
    <t>/f1 INEGI Sistema de Cuentas Nacionales de México. Oferta y Utilización Trimestral (OUT)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</si>
</sst>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\.\-yy"/>
    <numFmt numFmtId="165" formatCode="0.0"/>
    <numFmt numFmtId="166" formatCode="0.000000000"/>
  </numFmts>
  <fonts count="7" x14ac:knownFonts="1">
    <font>
      <sz val="12"/>
      <color theme="1"/>
      <name val="Noto Sans"/>
      <family val="2"/>
    </font>
    <font>
      <b/>
      <sz val="12"/>
      <name val="Arial"/>
      <family val="2"/>
    </font>
    <font>
      <sz val="11"/>
      <color theme="1"/>
      <name val="Noto Sans"/>
      <family val="2"/>
    </font>
    <font>
      <b/>
      <sz val="11"/>
      <name val="Arial"/>
      <family val="2"/>
    </font>
    <font>
      <sz val="9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left" indent="3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164" fontId="5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2" borderId="2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/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2" fontId="0" fillId="0" borderId="0" xfId="0" applyNumberFormat="1"/>
    <xf numFmtId="165" fontId="0" fillId="0" borderId="0" xfId="0" applyNumberFormat="1"/>
    <xf numFmtId="2" fontId="0" fillId="0" borderId="0" xfId="0" applyNumberFormat="1" applyAlignment="1">
      <alignment horizontal="center"/>
    </xf>
    <xf numFmtId="166" fontId="0" fillId="0" borderId="0" xfId="0" applyNumberFormat="1"/>
    <xf numFmtId="166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6" fillId="0" borderId="0" xfId="0" applyFont="1" applyAlignment="1">
      <alignment horizontal="left" vertical="center" wrapText="1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ysClr val="windowText" lastClr="000000"/>
                </a:solidFill>
                <a:latin typeface="Noto Sans" panose="020B0502040504020204" pitchFamily="34" charset="0"/>
                <a:ea typeface="+mn-ea"/>
                <a:cs typeface="+mn-cs"/>
              </a:defRPr>
            </a:pPr>
            <a:r>
              <a:rPr lang="es-MX" b="1"/>
              <a:t>Inflación de precios al consumidor </a:t>
            </a:r>
          </a:p>
          <a:p>
            <a:pPr>
              <a:defRPr/>
            </a:pPr>
            <a:r>
              <a:rPr lang="es-MX"/>
              <a:t>(Var. % anual)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Noto Sans" panose="020B0502040504020204" pitchFamily="34" charset="0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areaChart>
        <c:grouping val="stacked"/>
        <c:varyColors val="0"/>
        <c:ser>
          <c:idx val="3"/>
          <c:order val="3"/>
          <c:tx>
            <c:strRef>
              <c:f>'INFLACIÓN '!$X$5</c:f>
              <c:strCache>
                <c:ptCount val="1"/>
                <c:pt idx="0">
                  <c:v>Base </c:v>
                </c:pt>
              </c:strCache>
            </c:strRef>
          </c:tx>
          <c:spPr>
            <a:noFill/>
            <a:ln>
              <a:noFill/>
            </a:ln>
            <a:effectLst/>
          </c:spPr>
          <c:val>
            <c:numRef>
              <c:f>'INFLACIÓN '!$X$6:$X$44</c:f>
              <c:numCache>
                <c:formatCode>General</c:formatCode>
                <c:ptCount val="39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05-4D9D-A4FB-191B4EB720F0}"/>
            </c:ext>
          </c:extLst>
        </c:ser>
        <c:ser>
          <c:idx val="4"/>
          <c:order val="4"/>
          <c:tx>
            <c:strRef>
              <c:f>'INFLACIÓN '!$Y$5</c:f>
              <c:strCache>
                <c:ptCount val="1"/>
                <c:pt idx="0">
                  <c:v>Banda 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>
              <a:solidFill>
                <a:schemeClr val="bg2">
                  <a:lumMod val="90000"/>
                </a:schemeClr>
              </a:solidFill>
            </a:ln>
            <a:effectLst/>
          </c:spPr>
          <c:val>
            <c:numRef>
              <c:f>'INFLACIÓN '!$Y$6:$Y$44</c:f>
              <c:numCache>
                <c:formatCode>General</c:formatCode>
                <c:ptCount val="39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05-4D9D-A4FB-191B4EB720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2182399"/>
        <c:axId val="972170399"/>
      </c:areaChart>
      <c:lineChart>
        <c:grouping val="standard"/>
        <c:varyColors val="0"/>
        <c:ser>
          <c:idx val="0"/>
          <c:order val="0"/>
          <c:tx>
            <c:strRef>
              <c:f>'INFLACIÓN '!$U$5</c:f>
              <c:strCache>
                <c:ptCount val="1"/>
                <c:pt idx="0">
                  <c:v>General </c:v>
                </c:pt>
              </c:strCache>
            </c:strRef>
          </c:tx>
          <c:spPr>
            <a:ln w="28575" cap="rnd">
              <a:solidFill>
                <a:srgbClr val="080808"/>
              </a:solidFill>
              <a:round/>
            </a:ln>
            <a:effectLst/>
          </c:spPr>
          <c:marker>
            <c:symbol val="none"/>
          </c:marker>
          <c:dPt>
            <c:idx val="7"/>
            <c:marker>
              <c:symbol val="none"/>
            </c:marker>
            <c:bubble3D val="0"/>
            <c:spPr>
              <a:ln w="28575" cap="rnd">
                <a:solidFill>
                  <a:srgbClr val="080808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2505-4D9D-A4FB-191B4EB720F0}"/>
              </c:ext>
            </c:extLst>
          </c:dPt>
          <c:cat>
            <c:numRef>
              <c:f>'INFLACIÓN '!$T$6:$T$44</c:f>
              <c:numCache>
                <c:formatCode>mmm\.\-yy</c:formatCode>
                <c:ptCount val="39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  <c:pt idx="30">
                  <c:v>45839</c:v>
                </c:pt>
                <c:pt idx="31">
                  <c:v>45870</c:v>
                </c:pt>
                <c:pt idx="32">
                  <c:v>45901</c:v>
                </c:pt>
                <c:pt idx="33">
                  <c:v>45931</c:v>
                </c:pt>
                <c:pt idx="34">
                  <c:v>45962</c:v>
                </c:pt>
                <c:pt idx="35">
                  <c:v>45992</c:v>
                </c:pt>
                <c:pt idx="36">
                  <c:v>46023</c:v>
                </c:pt>
                <c:pt idx="37">
                  <c:v>46054</c:v>
                </c:pt>
                <c:pt idx="38">
                  <c:v>46082</c:v>
                </c:pt>
              </c:numCache>
            </c:numRef>
          </c:cat>
          <c:val>
            <c:numRef>
              <c:f>'INFLACIÓN '!$U$6:$U$44</c:f>
              <c:numCache>
                <c:formatCode>General</c:formatCode>
                <c:ptCount val="39"/>
                <c:pt idx="0">
                  <c:v>7.91</c:v>
                </c:pt>
                <c:pt idx="1">
                  <c:v>7.62</c:v>
                </c:pt>
                <c:pt idx="2">
                  <c:v>6.85</c:v>
                </c:pt>
                <c:pt idx="3">
                  <c:v>6.25</c:v>
                </c:pt>
                <c:pt idx="4">
                  <c:v>5.84</c:v>
                </c:pt>
                <c:pt idx="5">
                  <c:v>5.0599999999999996</c:v>
                </c:pt>
                <c:pt idx="6">
                  <c:v>4.79</c:v>
                </c:pt>
                <c:pt idx="7">
                  <c:v>4.6399999999999997</c:v>
                </c:pt>
                <c:pt idx="8">
                  <c:v>4.45</c:v>
                </c:pt>
                <c:pt idx="9">
                  <c:v>4.26</c:v>
                </c:pt>
                <c:pt idx="10">
                  <c:v>4.32</c:v>
                </c:pt>
                <c:pt idx="11">
                  <c:v>4.66</c:v>
                </c:pt>
                <c:pt idx="12">
                  <c:v>4.88</c:v>
                </c:pt>
                <c:pt idx="13">
                  <c:v>4.4000000000000004</c:v>
                </c:pt>
                <c:pt idx="14">
                  <c:v>4.42</c:v>
                </c:pt>
                <c:pt idx="15">
                  <c:v>4.6500000000000004</c:v>
                </c:pt>
                <c:pt idx="16">
                  <c:v>4.6900000000000004</c:v>
                </c:pt>
                <c:pt idx="17">
                  <c:v>4.9800000000000004</c:v>
                </c:pt>
                <c:pt idx="18">
                  <c:v>5.57</c:v>
                </c:pt>
                <c:pt idx="19">
                  <c:v>4.99</c:v>
                </c:pt>
                <c:pt idx="20">
                  <c:v>4.58</c:v>
                </c:pt>
                <c:pt idx="21">
                  <c:v>4.76</c:v>
                </c:pt>
                <c:pt idx="22">
                  <c:v>4.55</c:v>
                </c:pt>
                <c:pt idx="23">
                  <c:v>4.21</c:v>
                </c:pt>
                <c:pt idx="24">
                  <c:v>3.59</c:v>
                </c:pt>
                <c:pt idx="25">
                  <c:v>3.77</c:v>
                </c:pt>
                <c:pt idx="26">
                  <c:v>3.8</c:v>
                </c:pt>
                <c:pt idx="27">
                  <c:v>3.93</c:v>
                </c:pt>
                <c:pt idx="28">
                  <c:v>4.42</c:v>
                </c:pt>
                <c:pt idx="29">
                  <c:v>4.32</c:v>
                </c:pt>
                <c:pt idx="30">
                  <c:v>3.51</c:v>
                </c:pt>
                <c:pt idx="31">
                  <c:v>3.57</c:v>
                </c:pt>
                <c:pt idx="32">
                  <c:v>3.76</c:v>
                </c:pt>
                <c:pt idx="33">
                  <c:v>3.57</c:v>
                </c:pt>
                <c:pt idx="34">
                  <c:v>3.8</c:v>
                </c:pt>
                <c:pt idx="35">
                  <c:v>3.69</c:v>
                </c:pt>
                <c:pt idx="36">
                  <c:v>3.79</c:v>
                </c:pt>
                <c:pt idx="37">
                  <c:v>4.0199999999999996</c:v>
                </c:pt>
                <c:pt idx="38">
                  <c:v>4.59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505-4D9D-A4FB-191B4EB720F0}"/>
            </c:ext>
          </c:extLst>
        </c:ser>
        <c:ser>
          <c:idx val="1"/>
          <c:order val="1"/>
          <c:tx>
            <c:strRef>
              <c:f>'INFLACIÓN '!$V$5</c:f>
              <c:strCache>
                <c:ptCount val="1"/>
                <c:pt idx="0">
                  <c:v>Subyacente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'INFLACIÓN '!$T$6:$T$44</c:f>
              <c:numCache>
                <c:formatCode>mmm\.\-yy</c:formatCode>
                <c:ptCount val="39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  <c:pt idx="30">
                  <c:v>45839</c:v>
                </c:pt>
                <c:pt idx="31">
                  <c:v>45870</c:v>
                </c:pt>
                <c:pt idx="32">
                  <c:v>45901</c:v>
                </c:pt>
                <c:pt idx="33">
                  <c:v>45931</c:v>
                </c:pt>
                <c:pt idx="34">
                  <c:v>45962</c:v>
                </c:pt>
                <c:pt idx="35">
                  <c:v>45992</c:v>
                </c:pt>
                <c:pt idx="36">
                  <c:v>46023</c:v>
                </c:pt>
                <c:pt idx="37">
                  <c:v>46054</c:v>
                </c:pt>
                <c:pt idx="38">
                  <c:v>46082</c:v>
                </c:pt>
              </c:numCache>
            </c:numRef>
          </c:cat>
          <c:val>
            <c:numRef>
              <c:f>'INFLACIÓN '!$V$6:$V$44</c:f>
              <c:numCache>
                <c:formatCode>General</c:formatCode>
                <c:ptCount val="39"/>
                <c:pt idx="0">
                  <c:v>8.4499999999999993</c:v>
                </c:pt>
                <c:pt idx="1">
                  <c:v>8.2899999999999991</c:v>
                </c:pt>
                <c:pt idx="2">
                  <c:v>8.09</c:v>
                </c:pt>
                <c:pt idx="3">
                  <c:v>7.67</c:v>
                </c:pt>
                <c:pt idx="4">
                  <c:v>7.39</c:v>
                </c:pt>
                <c:pt idx="5">
                  <c:v>6.89</c:v>
                </c:pt>
                <c:pt idx="6">
                  <c:v>6.64</c:v>
                </c:pt>
                <c:pt idx="7">
                  <c:v>6.08</c:v>
                </c:pt>
                <c:pt idx="8">
                  <c:v>5.76</c:v>
                </c:pt>
                <c:pt idx="9">
                  <c:v>5.5</c:v>
                </c:pt>
                <c:pt idx="10">
                  <c:v>5.3</c:v>
                </c:pt>
                <c:pt idx="11">
                  <c:v>5.09</c:v>
                </c:pt>
                <c:pt idx="12">
                  <c:v>4.76</c:v>
                </c:pt>
                <c:pt idx="13">
                  <c:v>4.6399999999999997</c:v>
                </c:pt>
                <c:pt idx="14">
                  <c:v>4.55</c:v>
                </c:pt>
                <c:pt idx="15">
                  <c:v>4.37</c:v>
                </c:pt>
                <c:pt idx="16">
                  <c:v>4.21</c:v>
                </c:pt>
                <c:pt idx="17">
                  <c:v>4.13</c:v>
                </c:pt>
                <c:pt idx="18">
                  <c:v>4.05</c:v>
                </c:pt>
                <c:pt idx="19">
                  <c:v>4</c:v>
                </c:pt>
                <c:pt idx="20">
                  <c:v>3.91</c:v>
                </c:pt>
                <c:pt idx="21">
                  <c:v>3.8</c:v>
                </c:pt>
                <c:pt idx="22">
                  <c:v>3.58</c:v>
                </c:pt>
                <c:pt idx="23">
                  <c:v>3.65</c:v>
                </c:pt>
                <c:pt idx="24">
                  <c:v>3.66</c:v>
                </c:pt>
                <c:pt idx="25">
                  <c:v>3.65</c:v>
                </c:pt>
                <c:pt idx="26">
                  <c:v>3.64</c:v>
                </c:pt>
                <c:pt idx="27">
                  <c:v>3.93</c:v>
                </c:pt>
                <c:pt idx="28">
                  <c:v>4.0599999999999996</c:v>
                </c:pt>
                <c:pt idx="29">
                  <c:v>4.24</c:v>
                </c:pt>
                <c:pt idx="30">
                  <c:v>4.2300000000000004</c:v>
                </c:pt>
                <c:pt idx="31">
                  <c:v>4.2300000000000004</c:v>
                </c:pt>
                <c:pt idx="32">
                  <c:v>4.28</c:v>
                </c:pt>
                <c:pt idx="33">
                  <c:v>4.28</c:v>
                </c:pt>
                <c:pt idx="34">
                  <c:v>4.43</c:v>
                </c:pt>
                <c:pt idx="35">
                  <c:v>4.33</c:v>
                </c:pt>
                <c:pt idx="36">
                  <c:v>4.5199999999999996</c:v>
                </c:pt>
                <c:pt idx="37">
                  <c:v>4.5</c:v>
                </c:pt>
                <c:pt idx="38">
                  <c:v>4.45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505-4D9D-A4FB-191B4EB720F0}"/>
            </c:ext>
          </c:extLst>
        </c:ser>
        <c:ser>
          <c:idx val="2"/>
          <c:order val="2"/>
          <c:tx>
            <c:strRef>
              <c:f>'INFLACIÓN '!$W$5</c:f>
              <c:strCache>
                <c:ptCount val="1"/>
                <c:pt idx="0">
                  <c:v>No Subyacente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'INFLACIÓN '!$T$6:$T$44</c:f>
              <c:numCache>
                <c:formatCode>mmm\.\-yy</c:formatCode>
                <c:ptCount val="39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  <c:pt idx="30">
                  <c:v>45839</c:v>
                </c:pt>
                <c:pt idx="31">
                  <c:v>45870</c:v>
                </c:pt>
                <c:pt idx="32">
                  <c:v>45901</c:v>
                </c:pt>
                <c:pt idx="33">
                  <c:v>45931</c:v>
                </c:pt>
                <c:pt idx="34">
                  <c:v>45962</c:v>
                </c:pt>
                <c:pt idx="35">
                  <c:v>45992</c:v>
                </c:pt>
                <c:pt idx="36">
                  <c:v>46023</c:v>
                </c:pt>
                <c:pt idx="37">
                  <c:v>46054</c:v>
                </c:pt>
                <c:pt idx="38">
                  <c:v>46082</c:v>
                </c:pt>
              </c:numCache>
            </c:numRef>
          </c:cat>
          <c:val>
            <c:numRef>
              <c:f>'INFLACIÓN '!$W$6:$W$44</c:f>
              <c:numCache>
                <c:formatCode>General</c:formatCode>
                <c:ptCount val="39"/>
                <c:pt idx="0">
                  <c:v>6.32</c:v>
                </c:pt>
                <c:pt idx="1">
                  <c:v>5.65</c:v>
                </c:pt>
                <c:pt idx="2">
                  <c:v>3.27</c:v>
                </c:pt>
                <c:pt idx="3">
                  <c:v>2.12</c:v>
                </c:pt>
                <c:pt idx="4">
                  <c:v>1.24</c:v>
                </c:pt>
                <c:pt idx="5">
                  <c:v>-0.36</c:v>
                </c:pt>
                <c:pt idx="6">
                  <c:v>-0.67</c:v>
                </c:pt>
                <c:pt idx="7">
                  <c:v>0.37</c:v>
                </c:pt>
                <c:pt idx="8">
                  <c:v>0.6</c:v>
                </c:pt>
                <c:pt idx="9">
                  <c:v>0.56000000000000005</c:v>
                </c:pt>
                <c:pt idx="10">
                  <c:v>1.43</c:v>
                </c:pt>
                <c:pt idx="11">
                  <c:v>3.39</c:v>
                </c:pt>
                <c:pt idx="12">
                  <c:v>5.24</c:v>
                </c:pt>
                <c:pt idx="13">
                  <c:v>3.67</c:v>
                </c:pt>
                <c:pt idx="14">
                  <c:v>4.03</c:v>
                </c:pt>
                <c:pt idx="15">
                  <c:v>5.54</c:v>
                </c:pt>
                <c:pt idx="16">
                  <c:v>6.19</c:v>
                </c:pt>
                <c:pt idx="17">
                  <c:v>7.67</c:v>
                </c:pt>
                <c:pt idx="18">
                  <c:v>10.36</c:v>
                </c:pt>
                <c:pt idx="19">
                  <c:v>8.0299999999999994</c:v>
                </c:pt>
                <c:pt idx="20">
                  <c:v>6.5</c:v>
                </c:pt>
                <c:pt idx="21">
                  <c:v>7.68</c:v>
                </c:pt>
                <c:pt idx="22">
                  <c:v>7.6</c:v>
                </c:pt>
                <c:pt idx="23">
                  <c:v>5.95</c:v>
                </c:pt>
                <c:pt idx="24">
                  <c:v>3.34</c:v>
                </c:pt>
                <c:pt idx="25">
                  <c:v>4.08</c:v>
                </c:pt>
                <c:pt idx="26">
                  <c:v>4.16</c:v>
                </c:pt>
                <c:pt idx="27">
                  <c:v>3.76</c:v>
                </c:pt>
                <c:pt idx="28">
                  <c:v>5.34</c:v>
                </c:pt>
                <c:pt idx="29">
                  <c:v>4.33</c:v>
                </c:pt>
                <c:pt idx="30">
                  <c:v>1.1399999999999999</c:v>
                </c:pt>
                <c:pt idx="31">
                  <c:v>1.38</c:v>
                </c:pt>
                <c:pt idx="32">
                  <c:v>2.02</c:v>
                </c:pt>
                <c:pt idx="33">
                  <c:v>1.18</c:v>
                </c:pt>
                <c:pt idx="34">
                  <c:v>1.73</c:v>
                </c:pt>
                <c:pt idx="35">
                  <c:v>1.61</c:v>
                </c:pt>
                <c:pt idx="36">
                  <c:v>1.39</c:v>
                </c:pt>
                <c:pt idx="37">
                  <c:v>2.44</c:v>
                </c:pt>
                <c:pt idx="38">
                  <c:v>5.05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505-4D9D-A4FB-191B4EB720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2182399"/>
        <c:axId val="972170399"/>
      </c:lineChart>
      <c:catAx>
        <c:axId val="972182399"/>
        <c:scaling>
          <c:orientation val="minMax"/>
          <c:min val="3"/>
        </c:scaling>
        <c:delete val="0"/>
        <c:axPos val="b"/>
        <c:numFmt formatCode="mmm\.\-\y\y" sourceLinked="1"/>
        <c:majorTickMark val="in"/>
        <c:minorTickMark val="cross"/>
        <c:tickLblPos val="low"/>
        <c:spPr>
          <a:noFill/>
          <a:ln w="9525" cap="flat" cmpd="sng" algn="ctr">
            <a:solidFill>
              <a:srgbClr val="080808"/>
            </a:solidFill>
            <a:round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Noto Sans" panose="020B0502040504020204" pitchFamily="34" charset="0"/>
                <a:ea typeface="+mn-ea"/>
                <a:cs typeface="+mn-cs"/>
              </a:defRPr>
            </a:pPr>
            <a:endParaRPr lang="es-MX"/>
          </a:p>
        </c:txPr>
        <c:crossAx val="972170399"/>
        <c:crosses val="autoZero"/>
        <c:auto val="0"/>
        <c:lblAlgn val="ctr"/>
        <c:lblOffset val="100"/>
        <c:tickLblSkip val="4"/>
        <c:tickMarkSkip val="8"/>
        <c:noMultiLvlLbl val="0"/>
      </c:catAx>
      <c:valAx>
        <c:axId val="972170399"/>
        <c:scaling>
          <c:orientation val="minMax"/>
          <c:max val="14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Noto Sans" panose="020B0502040504020204" pitchFamily="34" charset="0"/>
                <a:ea typeface="+mn-ea"/>
                <a:cs typeface="+mn-cs"/>
              </a:defRPr>
            </a:pPr>
            <a:endParaRPr lang="es-MX"/>
          </a:p>
        </c:txPr>
        <c:crossAx val="972182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legendEntry>
        <c:idx val="1"/>
        <c:delete val="1"/>
      </c:legendEntry>
      <c:layout>
        <c:manualLayout>
          <c:xMode val="edge"/>
          <c:yMode val="edge"/>
          <c:x val="0.59043599041786288"/>
          <c:y val="0.19791840108465544"/>
          <c:w val="0.32878529000434903"/>
          <c:h val="0.1678813539164149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Noto Sans" panose="020B0502040504020204" pitchFamily="34" charset="0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19050" cap="flat" cmpd="sng" algn="ctr">
      <a:solidFill>
        <a:srgbClr val="080808"/>
      </a:solidFill>
      <a:round/>
    </a:ln>
    <a:effectLst/>
  </c:spPr>
  <c:txPr>
    <a:bodyPr/>
    <a:lstStyle/>
    <a:p>
      <a:pPr>
        <a:defRPr sz="1000" b="0" i="0" baseline="0">
          <a:solidFill>
            <a:sysClr val="windowText" lastClr="000000"/>
          </a:solidFill>
          <a:latin typeface="Noto Sans" panose="020B0502040504020204" pitchFamily="34" charset="0"/>
        </a:defRPr>
      </a:pPr>
      <a:endParaRPr lang="es-MX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0" i="0" u="none" strike="noStrike" kern="1200" spc="0" baseline="0">
                <a:solidFill>
                  <a:sysClr val="windowText" lastClr="000000"/>
                </a:solidFill>
                <a:latin typeface="Noto Sans" panose="020B0502040504020204" pitchFamily="34" charset="0"/>
                <a:ea typeface="+mn-ea"/>
                <a:cs typeface="+mn-cs"/>
              </a:defRPr>
            </a:pPr>
            <a:r>
              <a:rPr lang="es-MX" b="1"/>
              <a:t>PIB por componentes del gasto </a:t>
            </a:r>
          </a:p>
          <a:p>
            <a:pPr>
              <a:defRPr/>
            </a:pPr>
            <a:r>
              <a:rPr lang="es-MX" b="1"/>
              <a:t>(Var. % anual)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0" i="0" u="none" strike="noStrike" kern="1200" spc="0" baseline="0">
              <a:solidFill>
                <a:sysClr val="windowText" lastClr="000000"/>
              </a:solidFill>
              <a:latin typeface="Noto Sans" panose="020B0502040504020204" pitchFamily="34" charset="0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8.5233888888888887E-2"/>
          <c:y val="0.14887626262626263"/>
          <c:w val="0.89532174103237094"/>
          <c:h val="0.69169873737373733"/>
        </c:manualLayout>
      </c:layout>
      <c:barChart>
        <c:barDir val="col"/>
        <c:grouping val="stacked"/>
        <c:varyColors val="0"/>
        <c:ser>
          <c:idx val="2"/>
          <c:order val="1"/>
          <c:tx>
            <c:strRef>
              <c:f>'PIB '!$Z$29</c:f>
              <c:strCache>
                <c:ptCount val="1"/>
                <c:pt idx="0">
                  <c:v>Imports.</c:v>
                </c:pt>
              </c:strCache>
            </c:strRef>
          </c:tx>
          <c:spPr>
            <a:solidFill>
              <a:srgbClr val="FF0000"/>
            </a:solidFill>
            <a:ln w="9525">
              <a:solidFill>
                <a:srgbClr val="FF0000"/>
              </a:solidFill>
            </a:ln>
            <a:effectLst/>
          </c:spPr>
          <c:invertIfNegative val="0"/>
          <c:cat>
            <c:numRef>
              <c:f>'PIB '!$X$30:$X$36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'PIB '!$Z$30:$Z$36</c:f>
              <c:numCache>
                <c:formatCode>0</c:formatCode>
                <c:ptCount val="7"/>
                <c:pt idx="0">
                  <c:v>0.44502453946089821</c:v>
                </c:pt>
                <c:pt idx="1">
                  <c:v>4.9023633511362101</c:v>
                </c:pt>
                <c:pt idx="2">
                  <c:v>-6.1828964619716231</c:v>
                </c:pt>
                <c:pt idx="3">
                  <c:v>-3.6970557865695657</c:v>
                </c:pt>
                <c:pt idx="4">
                  <c:v>-1.649279990254751</c:v>
                </c:pt>
                <c:pt idx="5">
                  <c:v>-1.4683223403676291</c:v>
                </c:pt>
                <c:pt idx="6">
                  <c:v>-1.4264877152481275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A1-4154-B00F-2369075AF821}"/>
            </c:ext>
          </c:extLst>
        </c:ser>
        <c:ser>
          <c:idx val="3"/>
          <c:order val="2"/>
          <c:tx>
            <c:strRef>
              <c:f>'PIB '!$AA$29</c:f>
              <c:strCache>
                <c:ptCount val="1"/>
                <c:pt idx="0">
                  <c:v>C. Privado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'PIB '!$X$30:$X$36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'PIB '!$AA$30:$AA$36</c:f>
              <c:numCache>
                <c:formatCode>0</c:formatCode>
                <c:ptCount val="7"/>
                <c:pt idx="0">
                  <c:v>0.60770179143607284</c:v>
                </c:pt>
                <c:pt idx="1">
                  <c:v>-7.3249383303557476</c:v>
                </c:pt>
                <c:pt idx="2">
                  <c:v>5.330318555715011</c:v>
                </c:pt>
                <c:pt idx="3">
                  <c:v>3.1986728770929487</c:v>
                </c:pt>
                <c:pt idx="4">
                  <c:v>2.8071149501829802</c:v>
                </c:pt>
                <c:pt idx="5">
                  <c:v>1.7710128101020142</c:v>
                </c:pt>
                <c:pt idx="6">
                  <c:v>0.78085786239561528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A1-4154-B00F-2369075AF821}"/>
            </c:ext>
          </c:extLst>
        </c:ser>
        <c:ser>
          <c:idx val="4"/>
          <c:order val="3"/>
          <c:tx>
            <c:strRef>
              <c:f>'PIB '!$AB$29</c:f>
              <c:strCache>
                <c:ptCount val="1"/>
                <c:pt idx="0">
                  <c:v>C. Público</c:v>
                </c:pt>
              </c:strCache>
            </c:strRef>
          </c:tx>
          <c:spPr>
            <a:solidFill>
              <a:srgbClr val="9933FF"/>
            </a:solidFill>
            <a:ln>
              <a:solidFill>
                <a:srgbClr val="9933FF"/>
              </a:solidFill>
            </a:ln>
            <a:effectLst/>
          </c:spPr>
          <c:invertIfNegative val="0"/>
          <c:cat>
            <c:numRef>
              <c:f>'PIB '!$X$30:$X$36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'PIB '!$AB$30:$AB$36</c:f>
              <c:numCache>
                <c:formatCode>0</c:formatCode>
                <c:ptCount val="7"/>
                <c:pt idx="0">
                  <c:v>-0.19565264783515607</c:v>
                </c:pt>
                <c:pt idx="1">
                  <c:v>-8.1216866607277921E-2</c:v>
                </c:pt>
                <c:pt idx="2">
                  <c:v>-5.4582404219292988E-2</c:v>
                </c:pt>
                <c:pt idx="3">
                  <c:v>0.22780454809770184</c:v>
                </c:pt>
                <c:pt idx="4">
                  <c:v>0.27052448946509627</c:v>
                </c:pt>
                <c:pt idx="5">
                  <c:v>0.40711594980703802</c:v>
                </c:pt>
                <c:pt idx="6">
                  <c:v>0.14281184757517662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A1-4154-B00F-2369075AF821}"/>
            </c:ext>
          </c:extLst>
        </c:ser>
        <c:ser>
          <c:idx val="5"/>
          <c:order val="4"/>
          <c:tx>
            <c:strRef>
              <c:f>'PIB '!$AC$29</c:f>
              <c:strCache>
                <c:ptCount val="1"/>
                <c:pt idx="0">
                  <c:v>Exports. 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chemeClr val="accent6"/>
              </a:solidFill>
            </a:ln>
            <a:effectLst/>
          </c:spPr>
          <c:invertIfNegative val="0"/>
          <c:cat>
            <c:numRef>
              <c:f>'PIB '!$X$30:$X$36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'PIB '!$AC$30:$AC$36</c:f>
              <c:numCache>
                <c:formatCode>0</c:formatCode>
                <c:ptCount val="7"/>
                <c:pt idx="0">
                  <c:v>0.45457403578957645</c:v>
                </c:pt>
                <c:pt idx="1">
                  <c:v>-2.7831842619068627</c:v>
                </c:pt>
                <c:pt idx="2">
                  <c:v>2.8506997389308215</c:v>
                </c:pt>
                <c:pt idx="3">
                  <c:v>3.8620478775765834</c:v>
                </c:pt>
                <c:pt idx="4">
                  <c:v>-3.0625386920984021</c:v>
                </c:pt>
                <c:pt idx="5">
                  <c:v>1.3499326663829556</c:v>
                </c:pt>
                <c:pt idx="6">
                  <c:v>2.7440615277450826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1A1-4154-B00F-2369075AF821}"/>
            </c:ext>
          </c:extLst>
        </c:ser>
        <c:ser>
          <c:idx val="6"/>
          <c:order val="5"/>
          <c:tx>
            <c:strRef>
              <c:f>'PIB '!$AD$29</c:f>
              <c:strCache>
                <c:ptCount val="1"/>
                <c:pt idx="0">
                  <c:v>Inv. Privada</c:v>
                </c:pt>
              </c:strCache>
            </c:strRef>
          </c:tx>
          <c:spPr>
            <a:solidFill>
              <a:srgbClr val="FFC000"/>
            </a:solidFill>
            <a:ln>
              <a:solidFill>
                <a:srgbClr val="FFC000"/>
              </a:solidFill>
            </a:ln>
            <a:effectLst/>
          </c:spPr>
          <c:invertIfNegative val="0"/>
          <c:cat>
            <c:numRef>
              <c:f>'PIB '!$X$30:$X$36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'PIB '!$AD$30:$AD$36</c:f>
              <c:numCache>
                <c:formatCode>0</c:formatCode>
                <c:ptCount val="7"/>
                <c:pt idx="0">
                  <c:v>-0.57034762791005056</c:v>
                </c:pt>
                <c:pt idx="1">
                  <c:v>-3.651784917086291</c:v>
                </c:pt>
                <c:pt idx="2">
                  <c:v>2.1863577353664567</c:v>
                </c:pt>
                <c:pt idx="3">
                  <c:v>1.3886401206265351</c:v>
                </c:pt>
                <c:pt idx="4">
                  <c:v>2.3911890645969986</c:v>
                </c:pt>
                <c:pt idx="5">
                  <c:v>-0.12299069240355848</c:v>
                </c:pt>
                <c:pt idx="6">
                  <c:v>-0.81990062940867237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1A1-4154-B00F-2369075AF821}"/>
            </c:ext>
          </c:extLst>
        </c:ser>
        <c:ser>
          <c:idx val="7"/>
          <c:order val="6"/>
          <c:tx>
            <c:strRef>
              <c:f>'PIB '!$AE$29</c:f>
              <c:strCache>
                <c:ptCount val="1"/>
                <c:pt idx="0">
                  <c:v>Inv. Pública </c:v>
                </c:pt>
              </c:strCache>
            </c:strRef>
          </c:tx>
          <c:spPr>
            <a:solidFill>
              <a:srgbClr val="FF00FF"/>
            </a:solidFill>
            <a:ln>
              <a:solidFill>
                <a:srgbClr val="FF00FF"/>
              </a:solidFill>
            </a:ln>
            <a:effectLst/>
          </c:spPr>
          <c:invertIfNegative val="0"/>
          <c:cat>
            <c:numRef>
              <c:f>'PIB '!$X$30:$X$36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'PIB '!$AE$30:$AE$36</c:f>
              <c:numCache>
                <c:formatCode>0</c:formatCode>
                <c:ptCount val="7"/>
                <c:pt idx="0">
                  <c:v>-0.45077093765538162</c:v>
                </c:pt>
                <c:pt idx="1">
                  <c:v>-0.14389172611701412</c:v>
                </c:pt>
                <c:pt idx="2">
                  <c:v>-9.0235481977052112E-2</c:v>
                </c:pt>
                <c:pt idx="3">
                  <c:v>0.16883675023850539</c:v>
                </c:pt>
                <c:pt idx="4">
                  <c:v>0.60818276331796151</c:v>
                </c:pt>
                <c:pt idx="5">
                  <c:v>0.95570980620609081</c:v>
                </c:pt>
                <c:pt idx="6">
                  <c:v>-0.72568563092342386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1A1-4154-B00F-2369075AF8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46521936"/>
        <c:axId val="646523856"/>
      </c:barChart>
      <c:lineChart>
        <c:grouping val="standard"/>
        <c:varyColors val="0"/>
        <c:ser>
          <c:idx val="1"/>
          <c:order val="0"/>
          <c:tx>
            <c:strRef>
              <c:f>'PIB '!$Y$29</c:f>
              <c:strCache>
                <c:ptCount val="1"/>
                <c:pt idx="0">
                  <c:v>PIB 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  <a:effectLst/>
            </c:spPr>
          </c:marker>
          <c:cat>
            <c:numRef>
              <c:f>'PIB '!$X$30:$X$36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'PIB '!$Y$30:$Y$36</c:f>
              <c:numCache>
                <c:formatCode>0</c:formatCode>
                <c:ptCount val="7"/>
                <c:pt idx="0">
                  <c:v>-0.39269051329865468</c:v>
                </c:pt>
                <c:pt idx="1">
                  <c:v>-8.354034591887805</c:v>
                </c:pt>
                <c:pt idx="2">
                  <c:v>6.0484834717357217</c:v>
                </c:pt>
                <c:pt idx="3">
                  <c:v>3.7097570841591265</c:v>
                </c:pt>
                <c:pt idx="4">
                  <c:v>3.1067964110537138</c:v>
                </c:pt>
                <c:pt idx="5">
                  <c:v>1.350576313860441</c:v>
                </c:pt>
                <c:pt idx="6">
                  <c:v>0.56168345615013049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1A1-4154-B00F-2369075AF8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6521936"/>
        <c:axId val="646523856"/>
      </c:lineChart>
      <c:catAx>
        <c:axId val="646521936"/>
        <c:scaling>
          <c:orientation val="minMax"/>
        </c:scaling>
        <c:delete val="0"/>
        <c:axPos val="b"/>
        <c:numFmt formatCode="General" sourceLinked="1"/>
        <c:majorTickMark val="in"/>
        <c:minorTickMark val="cross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Noto Sans" panose="020B0502040504020204" pitchFamily="34" charset="0"/>
                <a:ea typeface="+mn-ea"/>
                <a:cs typeface="+mn-cs"/>
              </a:defRPr>
            </a:pPr>
            <a:endParaRPr lang="es-MX"/>
          </a:p>
        </c:txPr>
        <c:crossAx val="646523856"/>
        <c:crosses val="autoZero"/>
        <c:auto val="1"/>
        <c:lblAlgn val="ctr"/>
        <c:lblOffset val="100"/>
        <c:noMultiLvlLbl val="0"/>
      </c:catAx>
      <c:valAx>
        <c:axId val="646523856"/>
        <c:scaling>
          <c:orientation val="minMax"/>
          <c:min val="-15"/>
        </c:scaling>
        <c:delete val="0"/>
        <c:axPos val="l"/>
        <c:numFmt formatCode="0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Noto Sans" panose="020B0502040504020204" pitchFamily="34" charset="0"/>
                <a:ea typeface="+mn-ea"/>
                <a:cs typeface="+mn-cs"/>
              </a:defRPr>
            </a:pPr>
            <a:endParaRPr lang="es-MX"/>
          </a:p>
        </c:txPr>
        <c:crossAx val="646521936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layout>
        <c:manualLayout>
          <c:xMode val="edge"/>
          <c:yMode val="edge"/>
          <c:x val="0.35414648148148148"/>
          <c:y val="0.66695606060606061"/>
          <c:w val="0.37948500000000002"/>
          <c:h val="0.170644949494949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Noto Sans" panose="020B0502040504020204" pitchFamily="34" charset="0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80808"/>
      </a:solidFill>
      <a:round/>
    </a:ln>
    <a:effectLst/>
  </c:spPr>
  <c:txPr>
    <a:bodyPr/>
    <a:lstStyle/>
    <a:p>
      <a:pPr>
        <a:defRPr sz="900" baseline="0">
          <a:solidFill>
            <a:sysClr val="windowText" lastClr="000000"/>
          </a:solidFill>
          <a:latin typeface="Noto Sans" panose="020B0502040504020204" pitchFamily="34" charset="0"/>
        </a:defRPr>
      </a:pPr>
      <a:endParaRPr lang="es-MX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840810</xdr:colOff>
      <xdr:row>1</xdr:row>
      <xdr:rowOff>177322</xdr:rowOff>
    </xdr:from>
    <xdr:to>
      <xdr:col>8</xdr:col>
      <xdr:colOff>77304</xdr:colOff>
      <xdr:row>25</xdr:row>
      <xdr:rowOff>198783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6640EB-FC92-4AAC-B18E-68B3BFF2BF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0.03223</cdr:x>
      <cdr:y>0.91475</cdr:y>
    </cdr:from>
    <cdr:to>
      <cdr:x>0.36444</cdr:x>
      <cdr:y>0.99043</cdr:y>
    </cdr:to>
    <cdr:sp macro="" textlink="">
      <cdr:nvSpPr>
        <cdr:cNvPr id="3" name="CuadroTexto 2">
          <a:extLst xmlns:a="http://schemas.openxmlformats.org/drawingml/2006/main">
            <a:ext uri="{FF2B5EF4-FFF2-40B4-BE49-F238E27FC236}">
              <a16:creationId xmlns:a16="http://schemas.microsoft.com/office/drawing/2014/main" id="{88D30031-B732-3D54-90B6-CBCD95E07876}"/>
            </a:ext>
          </a:extLst>
        </cdr:cNvPr>
        <cdr:cNvSpPr txBox="1"/>
      </cdr:nvSpPr>
      <cdr:spPr>
        <a:xfrm xmlns:a="http://schemas.openxmlformats.org/drawingml/2006/main">
          <a:off x="121044" y="2993388"/>
          <a:ext cx="1247776" cy="24765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s-MX" sz="1100" kern="1200"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t>Fuente: INEGI.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407549</xdr:colOff>
      <xdr:row>2</xdr:row>
      <xdr:rowOff>198227</xdr:rowOff>
    </xdr:from>
    <xdr:to>
      <xdr:col>6</xdr:col>
      <xdr:colOff>341027</xdr:colOff>
      <xdr:row>20</xdr:row>
      <xdr:rowOff>132879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D106CFC-CE18-49D4-BD7B-169CEA603F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409748</xdr:colOff>
      <xdr:row>21</xdr:row>
      <xdr:rowOff>43119</xdr:rowOff>
    </xdr:from>
    <xdr:to>
      <xdr:col>6</xdr:col>
      <xdr:colOff>336616</xdr:colOff>
      <xdr:row>31</xdr:row>
      <xdr:rowOff>79070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99ECA6BC-6B53-4E3E-AABE-127F7F82434F}"/>
            </a:ext>
          </a:extLst>
        </xdr:cNvPr>
        <xdr:cNvSpPr txBox="1"/>
      </xdr:nvSpPr>
      <xdr:spPr>
        <a:xfrm>
          <a:off x="409748" y="4765021"/>
          <a:ext cx="5398278" cy="2284475"/>
        </a:xfrm>
        <a:prstGeom prst="rect">
          <a:avLst/>
        </a:prstGeom>
        <a:solidFill>
          <a:schemeClr val="lt1"/>
        </a:solidFill>
        <a:ln w="9525" cmpd="sng">
          <a:solidFill>
            <a:srgbClr val="080808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just"/>
          <a:r>
            <a:rPr lang="es-MX" sz="1100">
              <a:solidFill>
                <a:sysClr val="windowText" lastClr="000000"/>
              </a:solidFill>
              <a:latin typeface="Noto Sans" panose="020B0502040504020204" pitchFamily="34" charset="0"/>
            </a:rPr>
            <a:t>El crecimiento de México en 2025 fue</a:t>
          </a:r>
          <a:r>
            <a:rPr lang="es-MX" sz="1100" baseline="0">
              <a:solidFill>
                <a:sysClr val="windowText" lastClr="000000"/>
              </a:solidFill>
              <a:latin typeface="Noto Sans" panose="020B0502040504020204" pitchFamily="34" charset="0"/>
            </a:rPr>
            <a:t> altamente vulnerable al depender de las exportaciones netas para sostener una cifra positiva frente a la caída de las importaciones y de la inversión pública y privada. Por lo que, el país queda completamente expuesto a cualquier shock externo del país que importa bienes y servicios de México. Simultáneamente, existe un panorama de estancamiento en la productividad impulsado por la debilidad de la inversión pública y privada. Finalmente, para revertir dicho panorama negativo, la política económica de México debe enfocarse en generar certidumbre para reactivar la Inversión Fija Bruta. De esta manera, México recupera sus bases internas sólidas y no dependa exclusivamente de la demanda extranjera para un crecimiento económico. </a:t>
          </a:r>
          <a:endParaRPr lang="es-MX" sz="1100">
            <a:solidFill>
              <a:sysClr val="windowText" lastClr="000000"/>
            </a:solidFill>
            <a:latin typeface="Noto Sans" panose="020B0502040504020204" pitchFamily="34" charset="0"/>
          </a:endParaRPr>
        </a:p>
      </xdr:txBody>
    </xdr:sp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0.01764</cdr:x>
      <cdr:y>0.8996</cdr:y>
    </cdr:from>
    <cdr:to>
      <cdr:x>0.55294</cdr:x>
      <cdr:y>1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99F880EB-DA19-E967-B71B-E930AC094BB5}"/>
            </a:ext>
          </a:extLst>
        </cdr:cNvPr>
        <cdr:cNvSpPr txBox="1"/>
      </cdr:nvSpPr>
      <cdr:spPr>
        <a:xfrm xmlns:a="http://schemas.openxmlformats.org/drawingml/2006/main">
          <a:off x="95246" y="3562434"/>
          <a:ext cx="2890630" cy="39756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s-MX" sz="800" kern="1200">
              <a:solidFill>
                <a:sysClr val="windowText" lastClr="000000"/>
              </a:solidFill>
              <a:latin typeface="Noto Sans "/>
            </a:rPr>
            <a:t>Nota: Excluye la discrepancia estadística </a:t>
          </a:r>
        </a:p>
        <a:p xmlns:a="http://schemas.openxmlformats.org/drawingml/2006/main">
          <a:r>
            <a:rPr lang="es-MX" sz="800" kern="1200">
              <a:solidFill>
                <a:sysClr val="windowText" lastClr="000000"/>
              </a:solidFill>
              <a:latin typeface="Noto Sans "/>
            </a:rPr>
            <a:t>Fuente:</a:t>
          </a:r>
          <a:r>
            <a:rPr lang="es-MX" sz="800" kern="1200" baseline="0">
              <a:solidFill>
                <a:sysClr val="windowText" lastClr="000000"/>
              </a:solidFill>
              <a:latin typeface="Noto Sans "/>
            </a:rPr>
            <a:t> INEGI. </a:t>
          </a:r>
          <a:endParaRPr lang="es-MX" sz="800" kern="1200">
            <a:solidFill>
              <a:sysClr val="windowText" lastClr="000000"/>
            </a:solidFill>
            <a:latin typeface="Noto Sans "/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ava\Downloads\ornelas_cruces.xlsx" TargetMode="External"/><Relationship Id="rId1" Type="http://schemas.openxmlformats.org/officeDocument/2006/relationships/externalLinkPath" Target="ornelas_cruc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jercicio_1"/>
      <sheetName val="Ejercicio_2"/>
      <sheetName val="Ejercicio_3"/>
    </sheetNames>
    <sheetDataSet>
      <sheetData sheetId="0" refreshError="1"/>
      <sheetData sheetId="1">
        <row r="5">
          <cell r="U5" t="str">
            <v xml:space="preserve">General </v>
          </cell>
          <cell r="V5" t="str">
            <v>Subyacente</v>
          </cell>
          <cell r="W5" t="str">
            <v xml:space="preserve">No Subyacente </v>
          </cell>
          <cell r="X5" t="str">
            <v xml:space="preserve">Base </v>
          </cell>
          <cell r="Y5" t="str">
            <v xml:space="preserve">Banda </v>
          </cell>
        </row>
        <row r="6">
          <cell r="T6">
            <v>44927</v>
          </cell>
          <cell r="U6">
            <v>7.91</v>
          </cell>
          <cell r="V6">
            <v>8.4499999999999993</v>
          </cell>
          <cell r="W6">
            <v>6.32</v>
          </cell>
          <cell r="X6">
            <v>2</v>
          </cell>
          <cell r="Y6">
            <v>2</v>
          </cell>
        </row>
        <row r="7">
          <cell r="T7">
            <v>44958</v>
          </cell>
          <cell r="U7">
            <v>7.62</v>
          </cell>
          <cell r="V7">
            <v>8.2899999999999991</v>
          </cell>
          <cell r="W7">
            <v>5.65</v>
          </cell>
          <cell r="X7">
            <v>2</v>
          </cell>
          <cell r="Y7">
            <v>2</v>
          </cell>
        </row>
        <row r="8">
          <cell r="T8">
            <v>44986</v>
          </cell>
          <cell r="U8">
            <v>6.85</v>
          </cell>
          <cell r="V8">
            <v>8.09</v>
          </cell>
          <cell r="W8">
            <v>3.27</v>
          </cell>
          <cell r="X8">
            <v>2</v>
          </cell>
          <cell r="Y8">
            <v>2</v>
          </cell>
        </row>
        <row r="9">
          <cell r="T9">
            <v>45017</v>
          </cell>
          <cell r="U9">
            <v>6.25</v>
          </cell>
          <cell r="V9">
            <v>7.67</v>
          </cell>
          <cell r="W9">
            <v>2.12</v>
          </cell>
          <cell r="X9">
            <v>2</v>
          </cell>
          <cell r="Y9">
            <v>2</v>
          </cell>
        </row>
        <row r="10">
          <cell r="T10">
            <v>45047</v>
          </cell>
          <cell r="U10">
            <v>5.84</v>
          </cell>
          <cell r="V10">
            <v>7.39</v>
          </cell>
          <cell r="W10">
            <v>1.24</v>
          </cell>
          <cell r="X10">
            <v>2</v>
          </cell>
          <cell r="Y10">
            <v>2</v>
          </cell>
        </row>
        <row r="11">
          <cell r="T11">
            <v>45078</v>
          </cell>
          <cell r="U11">
            <v>5.0599999999999996</v>
          </cell>
          <cell r="V11">
            <v>6.89</v>
          </cell>
          <cell r="W11">
            <v>-0.36</v>
          </cell>
          <cell r="X11">
            <v>2</v>
          </cell>
          <cell r="Y11">
            <v>2</v>
          </cell>
        </row>
        <row r="12">
          <cell r="T12">
            <v>45108</v>
          </cell>
          <cell r="U12">
            <v>4.79</v>
          </cell>
          <cell r="V12">
            <v>6.64</v>
          </cell>
          <cell r="W12">
            <v>-0.67</v>
          </cell>
          <cell r="X12">
            <v>2</v>
          </cell>
          <cell r="Y12">
            <v>2</v>
          </cell>
        </row>
        <row r="13">
          <cell r="T13">
            <v>45139</v>
          </cell>
          <cell r="U13">
            <v>4.6399999999999997</v>
          </cell>
          <cell r="V13">
            <v>6.08</v>
          </cell>
          <cell r="W13">
            <v>0.37</v>
          </cell>
          <cell r="X13">
            <v>2</v>
          </cell>
          <cell r="Y13">
            <v>2</v>
          </cell>
        </row>
        <row r="14">
          <cell r="T14">
            <v>45170</v>
          </cell>
          <cell r="U14">
            <v>4.45</v>
          </cell>
          <cell r="V14">
            <v>5.76</v>
          </cell>
          <cell r="W14">
            <v>0.6</v>
          </cell>
          <cell r="X14">
            <v>2</v>
          </cell>
          <cell r="Y14">
            <v>2</v>
          </cell>
        </row>
        <row r="15">
          <cell r="T15">
            <v>45200</v>
          </cell>
          <cell r="U15">
            <v>4.26</v>
          </cell>
          <cell r="V15">
            <v>5.5</v>
          </cell>
          <cell r="W15">
            <v>0.56000000000000005</v>
          </cell>
          <cell r="X15">
            <v>2</v>
          </cell>
          <cell r="Y15">
            <v>2</v>
          </cell>
        </row>
        <row r="16">
          <cell r="T16">
            <v>45231</v>
          </cell>
          <cell r="U16">
            <v>4.32</v>
          </cell>
          <cell r="V16">
            <v>5.3</v>
          </cell>
          <cell r="W16">
            <v>1.43</v>
          </cell>
          <cell r="X16">
            <v>2</v>
          </cell>
          <cell r="Y16">
            <v>2</v>
          </cell>
        </row>
        <row r="17">
          <cell r="T17">
            <v>45261</v>
          </cell>
          <cell r="U17">
            <v>4.66</v>
          </cell>
          <cell r="V17">
            <v>5.09</v>
          </cell>
          <cell r="W17">
            <v>3.39</v>
          </cell>
          <cell r="X17">
            <v>2</v>
          </cell>
          <cell r="Y17">
            <v>2</v>
          </cell>
        </row>
        <row r="18">
          <cell r="T18">
            <v>45292</v>
          </cell>
          <cell r="U18">
            <v>4.88</v>
          </cell>
          <cell r="V18">
            <v>4.76</v>
          </cell>
          <cell r="W18">
            <v>5.24</v>
          </cell>
          <cell r="X18">
            <v>2</v>
          </cell>
          <cell r="Y18">
            <v>2</v>
          </cell>
        </row>
        <row r="19">
          <cell r="T19">
            <v>45323</v>
          </cell>
          <cell r="U19">
            <v>4.4000000000000004</v>
          </cell>
          <cell r="V19">
            <v>4.6399999999999997</v>
          </cell>
          <cell r="W19">
            <v>3.67</v>
          </cell>
          <cell r="X19">
            <v>2</v>
          </cell>
          <cell r="Y19">
            <v>2</v>
          </cell>
        </row>
        <row r="20">
          <cell r="T20">
            <v>45352</v>
          </cell>
          <cell r="U20">
            <v>4.42</v>
          </cell>
          <cell r="V20">
            <v>4.55</v>
          </cell>
          <cell r="W20">
            <v>4.03</v>
          </cell>
          <cell r="X20">
            <v>2</v>
          </cell>
          <cell r="Y20">
            <v>2</v>
          </cell>
        </row>
        <row r="21">
          <cell r="T21">
            <v>45383</v>
          </cell>
          <cell r="U21">
            <v>4.6500000000000004</v>
          </cell>
          <cell r="V21">
            <v>4.37</v>
          </cell>
          <cell r="W21">
            <v>5.54</v>
          </cell>
          <cell r="X21">
            <v>2</v>
          </cell>
          <cell r="Y21">
            <v>2</v>
          </cell>
        </row>
        <row r="22">
          <cell r="T22">
            <v>45413</v>
          </cell>
          <cell r="U22">
            <v>4.6900000000000004</v>
          </cell>
          <cell r="V22">
            <v>4.21</v>
          </cell>
          <cell r="W22">
            <v>6.19</v>
          </cell>
          <cell r="X22">
            <v>2</v>
          </cell>
          <cell r="Y22">
            <v>2</v>
          </cell>
        </row>
        <row r="23">
          <cell r="T23">
            <v>45444</v>
          </cell>
          <cell r="U23">
            <v>4.9800000000000004</v>
          </cell>
          <cell r="V23">
            <v>4.13</v>
          </cell>
          <cell r="W23">
            <v>7.67</v>
          </cell>
          <cell r="X23">
            <v>2</v>
          </cell>
          <cell r="Y23">
            <v>2</v>
          </cell>
        </row>
        <row r="24">
          <cell r="T24">
            <v>45474</v>
          </cell>
          <cell r="U24">
            <v>5.57</v>
          </cell>
          <cell r="V24">
            <v>4.05</v>
          </cell>
          <cell r="W24">
            <v>10.36</v>
          </cell>
          <cell r="X24">
            <v>2</v>
          </cell>
          <cell r="Y24">
            <v>2</v>
          </cell>
        </row>
        <row r="25">
          <cell r="T25">
            <v>45505</v>
          </cell>
          <cell r="U25">
            <v>4.99</v>
          </cell>
          <cell r="V25">
            <v>4</v>
          </cell>
          <cell r="W25">
            <v>8.0299999999999994</v>
          </cell>
          <cell r="X25">
            <v>2</v>
          </cell>
          <cell r="Y25">
            <v>2</v>
          </cell>
        </row>
        <row r="26">
          <cell r="T26">
            <v>45536</v>
          </cell>
          <cell r="U26">
            <v>4.58</v>
          </cell>
          <cell r="V26">
            <v>3.91</v>
          </cell>
          <cell r="W26">
            <v>6.5</v>
          </cell>
          <cell r="X26">
            <v>2</v>
          </cell>
          <cell r="Y26">
            <v>2</v>
          </cell>
        </row>
        <row r="27">
          <cell r="T27">
            <v>45566</v>
          </cell>
          <cell r="U27">
            <v>4.76</v>
          </cell>
          <cell r="V27">
            <v>3.8</v>
          </cell>
          <cell r="W27">
            <v>7.68</v>
          </cell>
          <cell r="X27">
            <v>2</v>
          </cell>
          <cell r="Y27">
            <v>2</v>
          </cell>
        </row>
        <row r="28">
          <cell r="T28">
            <v>45597</v>
          </cell>
          <cell r="U28">
            <v>4.55</v>
          </cell>
          <cell r="V28">
            <v>3.58</v>
          </cell>
          <cell r="W28">
            <v>7.6</v>
          </cell>
          <cell r="X28">
            <v>2</v>
          </cell>
          <cell r="Y28">
            <v>2</v>
          </cell>
        </row>
        <row r="29">
          <cell r="T29">
            <v>45627</v>
          </cell>
          <cell r="U29">
            <v>4.21</v>
          </cell>
          <cell r="V29">
            <v>3.65</v>
          </cell>
          <cell r="W29">
            <v>5.95</v>
          </cell>
          <cell r="X29">
            <v>2</v>
          </cell>
          <cell r="Y29">
            <v>2</v>
          </cell>
        </row>
        <row r="30">
          <cell r="T30">
            <v>45658</v>
          </cell>
          <cell r="U30">
            <v>3.59</v>
          </cell>
          <cell r="V30">
            <v>3.66</v>
          </cell>
          <cell r="W30">
            <v>3.34</v>
          </cell>
          <cell r="X30">
            <v>2</v>
          </cell>
          <cell r="Y30">
            <v>2</v>
          </cell>
        </row>
        <row r="31">
          <cell r="T31">
            <v>45689</v>
          </cell>
          <cell r="U31">
            <v>3.77</v>
          </cell>
          <cell r="V31">
            <v>3.65</v>
          </cell>
          <cell r="W31">
            <v>4.08</v>
          </cell>
          <cell r="X31">
            <v>2</v>
          </cell>
          <cell r="Y31">
            <v>2</v>
          </cell>
        </row>
        <row r="32">
          <cell r="T32">
            <v>45717</v>
          </cell>
          <cell r="U32">
            <v>3.8</v>
          </cell>
          <cell r="V32">
            <v>3.64</v>
          </cell>
          <cell r="W32">
            <v>4.16</v>
          </cell>
          <cell r="X32">
            <v>2</v>
          </cell>
          <cell r="Y32">
            <v>2</v>
          </cell>
        </row>
        <row r="33">
          <cell r="T33">
            <v>45748</v>
          </cell>
          <cell r="U33">
            <v>3.93</v>
          </cell>
          <cell r="V33">
            <v>3.93</v>
          </cell>
          <cell r="W33">
            <v>3.76</v>
          </cell>
          <cell r="X33">
            <v>2</v>
          </cell>
          <cell r="Y33">
            <v>2</v>
          </cell>
        </row>
        <row r="34">
          <cell r="T34">
            <v>45778</v>
          </cell>
          <cell r="U34">
            <v>4.42</v>
          </cell>
          <cell r="V34">
            <v>4.0599999999999996</v>
          </cell>
          <cell r="W34">
            <v>5.34</v>
          </cell>
          <cell r="X34">
            <v>2</v>
          </cell>
          <cell r="Y34">
            <v>2</v>
          </cell>
        </row>
        <row r="35">
          <cell r="T35">
            <v>45809</v>
          </cell>
          <cell r="U35">
            <v>4.32</v>
          </cell>
          <cell r="V35">
            <v>4.24</v>
          </cell>
          <cell r="W35">
            <v>4.33</v>
          </cell>
          <cell r="X35">
            <v>2</v>
          </cell>
          <cell r="Y35">
            <v>2</v>
          </cell>
        </row>
        <row r="36">
          <cell r="T36">
            <v>45839</v>
          </cell>
          <cell r="U36">
            <v>3.51</v>
          </cell>
          <cell r="V36">
            <v>4.2300000000000004</v>
          </cell>
          <cell r="W36">
            <v>1.1399999999999999</v>
          </cell>
          <cell r="X36">
            <v>2</v>
          </cell>
          <cell r="Y36">
            <v>2</v>
          </cell>
        </row>
        <row r="37">
          <cell r="T37">
            <v>45870</v>
          </cell>
          <cell r="U37">
            <v>3.57</v>
          </cell>
          <cell r="V37">
            <v>4.2300000000000004</v>
          </cell>
          <cell r="W37">
            <v>1.38</v>
          </cell>
          <cell r="X37">
            <v>2</v>
          </cell>
          <cell r="Y37">
            <v>2</v>
          </cell>
        </row>
        <row r="38">
          <cell r="T38">
            <v>45901</v>
          </cell>
          <cell r="U38">
            <v>3.76</v>
          </cell>
          <cell r="V38">
            <v>4.28</v>
          </cell>
          <cell r="W38">
            <v>2.02</v>
          </cell>
          <cell r="X38">
            <v>2</v>
          </cell>
          <cell r="Y38">
            <v>2</v>
          </cell>
        </row>
        <row r="39">
          <cell r="T39">
            <v>45931</v>
          </cell>
          <cell r="U39">
            <v>3.57</v>
          </cell>
          <cell r="V39">
            <v>4.28</v>
          </cell>
          <cell r="W39">
            <v>1.18</v>
          </cell>
          <cell r="X39">
            <v>2</v>
          </cell>
          <cell r="Y39">
            <v>2</v>
          </cell>
        </row>
        <row r="40">
          <cell r="T40">
            <v>45962</v>
          </cell>
          <cell r="U40">
            <v>3.8</v>
          </cell>
          <cell r="V40">
            <v>4.43</v>
          </cell>
          <cell r="W40">
            <v>1.73</v>
          </cell>
          <cell r="X40">
            <v>2</v>
          </cell>
          <cell r="Y40">
            <v>2</v>
          </cell>
        </row>
        <row r="41">
          <cell r="T41">
            <v>45992</v>
          </cell>
          <cell r="U41">
            <v>3.69</v>
          </cell>
          <cell r="V41">
            <v>4.33</v>
          </cell>
          <cell r="W41">
            <v>1.61</v>
          </cell>
          <cell r="X41">
            <v>2</v>
          </cell>
          <cell r="Y41">
            <v>2</v>
          </cell>
        </row>
        <row r="42">
          <cell r="T42">
            <v>46023</v>
          </cell>
          <cell r="U42">
            <v>3.79</v>
          </cell>
          <cell r="V42">
            <v>4.5199999999999996</v>
          </cell>
          <cell r="W42">
            <v>1.39</v>
          </cell>
          <cell r="X42">
            <v>2</v>
          </cell>
          <cell r="Y42">
            <v>2</v>
          </cell>
        </row>
        <row r="43">
          <cell r="T43">
            <v>46054</v>
          </cell>
          <cell r="U43">
            <v>4.0199999999999996</v>
          </cell>
          <cell r="V43">
            <v>4.5</v>
          </cell>
          <cell r="W43">
            <v>2.44</v>
          </cell>
          <cell r="X43">
            <v>2</v>
          </cell>
          <cell r="Y43">
            <v>2</v>
          </cell>
        </row>
        <row r="44">
          <cell r="T44">
            <v>46082</v>
          </cell>
          <cell r="U44">
            <v>4.59</v>
          </cell>
          <cell r="V44">
            <v>4.45</v>
          </cell>
          <cell r="W44">
            <v>5.05</v>
          </cell>
          <cell r="X44">
            <v>2</v>
          </cell>
          <cell r="Y44">
            <v>2</v>
          </cell>
        </row>
      </sheetData>
      <sheetData sheetId="2">
        <row r="29">
          <cell r="Y29" t="str">
            <v xml:space="preserve">PIB </v>
          </cell>
          <cell r="Z29" t="str">
            <v>Imports.</v>
          </cell>
          <cell r="AA29" t="str">
            <v xml:space="preserve">C. Privado </v>
          </cell>
          <cell r="AB29" t="str">
            <v>C. Público</v>
          </cell>
          <cell r="AC29" t="str">
            <v xml:space="preserve">Exports. </v>
          </cell>
          <cell r="AD29" t="str">
            <v>Inv. Privada</v>
          </cell>
          <cell r="AE29" t="str">
            <v xml:space="preserve">Inv. Pública </v>
          </cell>
        </row>
        <row r="30">
          <cell r="X30">
            <v>2019</v>
          </cell>
          <cell r="Y30">
            <v>-0.39269051329865468</v>
          </cell>
          <cell r="Z30">
            <v>0.44502453946089821</v>
          </cell>
          <cell r="AA30">
            <v>0.60770179143607284</v>
          </cell>
          <cell r="AB30">
            <v>-0.19565264783515607</v>
          </cell>
          <cell r="AC30">
            <v>0.45457403578957645</v>
          </cell>
          <cell r="AD30">
            <v>-0.57034762791005056</v>
          </cell>
          <cell r="AE30">
            <v>-0.45077093765538162</v>
          </cell>
        </row>
        <row r="31">
          <cell r="X31">
            <v>2020</v>
          </cell>
          <cell r="Y31">
            <v>-8.354034591887805</v>
          </cell>
          <cell r="Z31">
            <v>4.9023633511362101</v>
          </cell>
          <cell r="AA31">
            <v>-7.3249383303557476</v>
          </cell>
          <cell r="AB31">
            <v>-8.1216866607277921E-2</v>
          </cell>
          <cell r="AC31">
            <v>-2.7831842619068627</v>
          </cell>
          <cell r="AD31">
            <v>-3.651784917086291</v>
          </cell>
          <cell r="AE31">
            <v>-0.14389172611701412</v>
          </cell>
        </row>
        <row r="32">
          <cell r="X32">
            <v>2021</v>
          </cell>
          <cell r="Y32">
            <v>6.0484834717357217</v>
          </cell>
          <cell r="Z32">
            <v>-6.1828964619716231</v>
          </cell>
          <cell r="AA32">
            <v>5.330318555715011</v>
          </cell>
          <cell r="AB32">
            <v>-5.4582404219292988E-2</v>
          </cell>
          <cell r="AC32">
            <v>2.8506997389308215</v>
          </cell>
          <cell r="AD32">
            <v>2.1863577353664567</v>
          </cell>
          <cell r="AE32">
            <v>-9.0235481977052112E-2</v>
          </cell>
        </row>
        <row r="33">
          <cell r="X33">
            <v>2022</v>
          </cell>
          <cell r="Y33">
            <v>3.7097570841591265</v>
          </cell>
          <cell r="Z33">
            <v>-3.6970557865695657</v>
          </cell>
          <cell r="AA33">
            <v>3.1986728770929487</v>
          </cell>
          <cell r="AB33">
            <v>0.22780454809770184</v>
          </cell>
          <cell r="AC33">
            <v>3.8620478775765834</v>
          </cell>
          <cell r="AD33">
            <v>1.3886401206265351</v>
          </cell>
          <cell r="AE33">
            <v>0.16883675023850539</v>
          </cell>
        </row>
        <row r="34">
          <cell r="X34">
            <v>2023</v>
          </cell>
          <cell r="Y34">
            <v>3.1067964110537138</v>
          </cell>
          <cell r="Z34">
            <v>-1.649279990254751</v>
          </cell>
          <cell r="AA34">
            <v>2.8071149501829802</v>
          </cell>
          <cell r="AB34">
            <v>0.27052448946509627</v>
          </cell>
          <cell r="AC34">
            <v>-3.0625386920984021</v>
          </cell>
          <cell r="AD34">
            <v>2.3911890645969986</v>
          </cell>
          <cell r="AE34">
            <v>0.60818276331796151</v>
          </cell>
        </row>
        <row r="35">
          <cell r="X35">
            <v>2024</v>
          </cell>
          <cell r="Y35">
            <v>1.350576313860441</v>
          </cell>
          <cell r="Z35">
            <v>-1.4683223403676291</v>
          </cell>
          <cell r="AA35">
            <v>1.7710128101020142</v>
          </cell>
          <cell r="AB35">
            <v>0.40711594980703802</v>
          </cell>
          <cell r="AC35">
            <v>1.3499326663829556</v>
          </cell>
          <cell r="AD35">
            <v>-0.12299069240355848</v>
          </cell>
          <cell r="AE35">
            <v>0.95570980620609081</v>
          </cell>
        </row>
        <row r="36">
          <cell r="X36">
            <v>2025</v>
          </cell>
          <cell r="Y36">
            <v>0.56168345615013049</v>
          </cell>
          <cell r="Z36">
            <v>-1.4264877152481275</v>
          </cell>
          <cell r="AA36">
            <v>0.78085786239561528</v>
          </cell>
          <cell r="AB36">
            <v>0.14281184757517662</v>
          </cell>
          <cell r="AC36">
            <v>2.7440615277450826</v>
          </cell>
          <cell r="AD36">
            <v>-0.81990062940867237</v>
          </cell>
          <cell r="AE36">
            <v>-0.72568563092342386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E38E2-1E7D-4362-B56B-03A1FF12AFCF}">
  <dimension ref="B1:AD47"/>
  <sheetViews>
    <sheetView showGridLines="0" tabSelected="1" zoomScale="69" zoomScaleNormal="88" workbookViewId="0">
      <selection activeCell="L19" sqref="L19"/>
    </sheetView>
  </sheetViews>
  <sheetFormatPr baseColWidth="10" defaultRowHeight="17.399999999999999" x14ac:dyDescent="0.4"/>
  <cols>
    <col min="11" max="11" width="13.54296875" bestFit="1" customWidth="1"/>
    <col min="19" max="19" width="13.453125" customWidth="1"/>
    <col min="23" max="23" width="12.6328125" customWidth="1"/>
  </cols>
  <sheetData>
    <row r="1" spans="2:30" x14ac:dyDescent="0.4">
      <c r="O1" s="1" t="s">
        <v>0</v>
      </c>
    </row>
    <row r="2" spans="2:30" x14ac:dyDescent="0.4">
      <c r="B2" s="2"/>
      <c r="O2" s="3" t="s">
        <v>1</v>
      </c>
    </row>
    <row r="3" spans="2:30" x14ac:dyDescent="0.4">
      <c r="B3" s="4"/>
      <c r="O3" s="5" t="s">
        <v>2</v>
      </c>
    </row>
    <row r="4" spans="2:30" x14ac:dyDescent="0.4">
      <c r="B4" s="4"/>
    </row>
    <row r="5" spans="2:30" x14ac:dyDescent="0.4">
      <c r="B5" s="4"/>
      <c r="O5" s="6" t="s">
        <v>3</v>
      </c>
      <c r="P5" s="6" t="s">
        <v>4</v>
      </c>
      <c r="Q5" s="6" t="s">
        <v>5</v>
      </c>
      <c r="R5" s="6" t="s">
        <v>6</v>
      </c>
      <c r="S5" s="7"/>
      <c r="T5" s="8" t="s">
        <v>7</v>
      </c>
      <c r="U5" s="8" t="s">
        <v>8</v>
      </c>
      <c r="V5" s="8" t="s">
        <v>9</v>
      </c>
      <c r="W5" s="8" t="s">
        <v>10</v>
      </c>
      <c r="X5" s="8" t="s">
        <v>11</v>
      </c>
      <c r="Y5" s="8" t="s">
        <v>12</v>
      </c>
      <c r="Z5" s="8"/>
      <c r="AA5" s="8"/>
    </row>
    <row r="6" spans="2:30" x14ac:dyDescent="0.4">
      <c r="B6" s="4"/>
      <c r="O6" s="9" t="s">
        <v>13</v>
      </c>
      <c r="P6">
        <v>7.91</v>
      </c>
      <c r="Q6">
        <v>8.4499999999999993</v>
      </c>
      <c r="R6">
        <v>6.32</v>
      </c>
      <c r="T6" s="10">
        <v>44927</v>
      </c>
      <c r="U6" s="11">
        <v>7.91</v>
      </c>
      <c r="V6" s="11">
        <v>8.4499999999999993</v>
      </c>
      <c r="W6" s="11">
        <v>6.32</v>
      </c>
      <c r="X6" s="11">
        <v>2</v>
      </c>
      <c r="Y6" s="11">
        <v>2</v>
      </c>
      <c r="Z6" s="11"/>
      <c r="AA6" s="11"/>
      <c r="AC6" s="10"/>
      <c r="AD6" s="11"/>
    </row>
    <row r="7" spans="2:30" x14ac:dyDescent="0.4">
      <c r="O7" s="9" t="s">
        <v>14</v>
      </c>
      <c r="P7">
        <v>7.62</v>
      </c>
      <c r="Q7">
        <v>8.2899999999999991</v>
      </c>
      <c r="R7">
        <v>5.65</v>
      </c>
      <c r="T7" s="10">
        <v>44958</v>
      </c>
      <c r="U7" s="11">
        <v>7.62</v>
      </c>
      <c r="V7" s="11">
        <v>8.2899999999999991</v>
      </c>
      <c r="W7" s="11">
        <v>5.65</v>
      </c>
      <c r="X7" s="11">
        <v>2</v>
      </c>
      <c r="Y7" s="11">
        <v>2</v>
      </c>
      <c r="Z7" s="11"/>
      <c r="AA7" s="11"/>
      <c r="AC7" s="10"/>
      <c r="AD7" s="11"/>
    </row>
    <row r="8" spans="2:30" x14ac:dyDescent="0.4">
      <c r="O8" s="9" t="s">
        <v>15</v>
      </c>
      <c r="P8">
        <v>6.85</v>
      </c>
      <c r="Q8">
        <v>8.09</v>
      </c>
      <c r="R8">
        <v>3.27</v>
      </c>
      <c r="T8" s="10">
        <v>44986</v>
      </c>
      <c r="U8" s="11">
        <v>6.85</v>
      </c>
      <c r="V8" s="11">
        <v>8.09</v>
      </c>
      <c r="W8" s="11">
        <v>3.27</v>
      </c>
      <c r="X8" s="11">
        <v>2</v>
      </c>
      <c r="Y8" s="11">
        <v>2</v>
      </c>
      <c r="Z8" s="11"/>
      <c r="AA8" s="11"/>
      <c r="AC8" s="10"/>
      <c r="AD8" s="11"/>
    </row>
    <row r="9" spans="2:30" x14ac:dyDescent="0.4">
      <c r="O9" s="9" t="s">
        <v>16</v>
      </c>
      <c r="P9">
        <v>6.25</v>
      </c>
      <c r="Q9">
        <v>7.67</v>
      </c>
      <c r="R9">
        <v>2.12</v>
      </c>
      <c r="T9" s="10">
        <v>45017</v>
      </c>
      <c r="U9" s="11">
        <v>6.25</v>
      </c>
      <c r="V9" s="11">
        <v>7.67</v>
      </c>
      <c r="W9" s="11">
        <v>2.12</v>
      </c>
      <c r="X9" s="11">
        <v>2</v>
      </c>
      <c r="Y9" s="11">
        <v>2</v>
      </c>
      <c r="Z9" s="11"/>
      <c r="AA9" s="11"/>
      <c r="AC9" s="10"/>
      <c r="AD9" s="11"/>
    </row>
    <row r="10" spans="2:30" x14ac:dyDescent="0.4">
      <c r="O10" s="9" t="s">
        <v>17</v>
      </c>
      <c r="P10">
        <v>5.84</v>
      </c>
      <c r="Q10">
        <v>7.39</v>
      </c>
      <c r="R10">
        <v>1.24</v>
      </c>
      <c r="T10" s="10">
        <v>45047</v>
      </c>
      <c r="U10" s="11">
        <v>5.84</v>
      </c>
      <c r="V10" s="11">
        <v>7.39</v>
      </c>
      <c r="W10" s="11">
        <v>1.24</v>
      </c>
      <c r="X10" s="11">
        <v>2</v>
      </c>
      <c r="Y10" s="11">
        <v>2</v>
      </c>
      <c r="Z10" s="11"/>
      <c r="AA10" s="11"/>
      <c r="AC10" s="10"/>
      <c r="AD10" s="11"/>
    </row>
    <row r="11" spans="2:30" x14ac:dyDescent="0.4">
      <c r="O11" s="9" t="s">
        <v>18</v>
      </c>
      <c r="P11">
        <v>5.0599999999999996</v>
      </c>
      <c r="Q11">
        <v>6.89</v>
      </c>
      <c r="R11">
        <v>-0.36</v>
      </c>
      <c r="T11" s="10">
        <v>45078</v>
      </c>
      <c r="U11" s="11">
        <v>5.0599999999999996</v>
      </c>
      <c r="V11" s="11">
        <v>6.89</v>
      </c>
      <c r="W11" s="11">
        <v>-0.36</v>
      </c>
      <c r="X11" s="11">
        <v>2</v>
      </c>
      <c r="Y11" s="11">
        <v>2</v>
      </c>
      <c r="Z11" s="11"/>
      <c r="AA11" s="11"/>
      <c r="AC11" s="10"/>
      <c r="AD11" s="11"/>
    </row>
    <row r="12" spans="2:30" x14ac:dyDescent="0.4">
      <c r="H12" s="11"/>
      <c r="I12" s="11"/>
      <c r="J12" s="11"/>
      <c r="K12" s="11"/>
      <c r="O12" s="9" t="s">
        <v>19</v>
      </c>
      <c r="P12">
        <v>4.79</v>
      </c>
      <c r="Q12">
        <v>6.64</v>
      </c>
      <c r="R12">
        <v>-0.67</v>
      </c>
      <c r="T12" s="10">
        <v>45108</v>
      </c>
      <c r="U12" s="11">
        <v>4.79</v>
      </c>
      <c r="V12" s="11">
        <v>6.64</v>
      </c>
      <c r="W12" s="11">
        <v>-0.67</v>
      </c>
      <c r="X12" s="11">
        <v>2</v>
      </c>
      <c r="Y12" s="11">
        <v>2</v>
      </c>
      <c r="Z12" s="11"/>
      <c r="AA12" s="11"/>
      <c r="AC12" s="10"/>
      <c r="AD12" s="11"/>
    </row>
    <row r="13" spans="2:30" x14ac:dyDescent="0.4">
      <c r="H13" s="10"/>
      <c r="I13" s="11"/>
      <c r="J13" s="11"/>
      <c r="K13" s="11"/>
      <c r="O13" s="9" t="s">
        <v>20</v>
      </c>
      <c r="P13">
        <v>4.6399999999999997</v>
      </c>
      <c r="Q13">
        <v>6.08</v>
      </c>
      <c r="R13">
        <v>0.37</v>
      </c>
      <c r="T13" s="10">
        <v>45139</v>
      </c>
      <c r="U13" s="11">
        <v>4.6399999999999997</v>
      </c>
      <c r="V13" s="11">
        <v>6.08</v>
      </c>
      <c r="W13" s="11">
        <v>0.37</v>
      </c>
      <c r="X13" s="11">
        <v>2</v>
      </c>
      <c r="Y13" s="11">
        <v>2</v>
      </c>
      <c r="Z13" s="11"/>
      <c r="AA13" s="11"/>
      <c r="AC13" s="10"/>
      <c r="AD13" s="11"/>
    </row>
    <row r="14" spans="2:30" x14ac:dyDescent="0.4">
      <c r="H14" s="10"/>
      <c r="I14" s="11"/>
      <c r="J14" s="11"/>
      <c r="K14" s="11"/>
      <c r="O14" s="9" t="s">
        <v>21</v>
      </c>
      <c r="P14">
        <v>4.45</v>
      </c>
      <c r="Q14">
        <v>5.76</v>
      </c>
      <c r="R14">
        <v>0.6</v>
      </c>
      <c r="T14" s="10">
        <v>45170</v>
      </c>
      <c r="U14" s="11">
        <v>4.45</v>
      </c>
      <c r="V14" s="11">
        <v>5.76</v>
      </c>
      <c r="W14" s="11">
        <v>0.6</v>
      </c>
      <c r="X14" s="11">
        <v>2</v>
      </c>
      <c r="Y14" s="11">
        <v>2</v>
      </c>
      <c r="Z14" s="11"/>
      <c r="AA14" s="11"/>
      <c r="AC14" s="10"/>
      <c r="AD14" s="11"/>
    </row>
    <row r="15" spans="2:30" x14ac:dyDescent="0.4">
      <c r="H15" s="10"/>
      <c r="I15" s="11"/>
      <c r="J15" s="11"/>
      <c r="K15" s="11"/>
      <c r="O15" s="9" t="s">
        <v>22</v>
      </c>
      <c r="P15">
        <v>4.26</v>
      </c>
      <c r="Q15">
        <v>5.5</v>
      </c>
      <c r="R15">
        <v>0.56000000000000005</v>
      </c>
      <c r="T15" s="10">
        <v>45200</v>
      </c>
      <c r="U15" s="11">
        <v>4.26</v>
      </c>
      <c r="V15" s="11">
        <v>5.5</v>
      </c>
      <c r="W15" s="11">
        <v>0.56000000000000005</v>
      </c>
      <c r="X15" s="11">
        <v>2</v>
      </c>
      <c r="Y15" s="11">
        <v>2</v>
      </c>
    </row>
    <row r="16" spans="2:30" x14ac:dyDescent="0.4">
      <c r="H16" s="10"/>
      <c r="I16" s="11"/>
      <c r="J16" s="11"/>
      <c r="K16" s="11"/>
      <c r="O16" s="9" t="s">
        <v>23</v>
      </c>
      <c r="P16">
        <v>4.32</v>
      </c>
      <c r="Q16">
        <v>5.3</v>
      </c>
      <c r="R16">
        <v>1.43</v>
      </c>
      <c r="T16" s="10">
        <v>45231</v>
      </c>
      <c r="U16" s="11">
        <v>4.32</v>
      </c>
      <c r="V16" s="11">
        <v>5.3</v>
      </c>
      <c r="W16" s="11">
        <v>1.43</v>
      </c>
      <c r="X16" s="11">
        <v>2</v>
      </c>
      <c r="Y16" s="11">
        <v>2</v>
      </c>
    </row>
    <row r="17" spans="8:25" x14ac:dyDescent="0.4">
      <c r="H17" s="10"/>
      <c r="I17" s="11"/>
      <c r="J17" s="11"/>
      <c r="K17" s="11"/>
      <c r="O17" s="9" t="s">
        <v>24</v>
      </c>
      <c r="P17">
        <v>4.66</v>
      </c>
      <c r="Q17">
        <v>5.09</v>
      </c>
      <c r="R17">
        <v>3.39</v>
      </c>
      <c r="T17" s="10">
        <v>45261</v>
      </c>
      <c r="U17" s="11">
        <v>4.66</v>
      </c>
      <c r="V17" s="11">
        <v>5.09</v>
      </c>
      <c r="W17" s="11">
        <v>3.39</v>
      </c>
      <c r="X17" s="11">
        <v>2</v>
      </c>
      <c r="Y17" s="11">
        <v>2</v>
      </c>
    </row>
    <row r="18" spans="8:25" x14ac:dyDescent="0.4">
      <c r="H18" s="10"/>
      <c r="I18" s="11"/>
      <c r="J18" s="11"/>
      <c r="K18" s="11"/>
      <c r="O18" s="9" t="s">
        <v>25</v>
      </c>
      <c r="P18">
        <v>4.88</v>
      </c>
      <c r="Q18">
        <v>4.76</v>
      </c>
      <c r="R18">
        <v>5.24</v>
      </c>
      <c r="T18" s="10">
        <v>45292</v>
      </c>
      <c r="U18" s="11">
        <v>4.88</v>
      </c>
      <c r="V18" s="11">
        <v>4.76</v>
      </c>
      <c r="W18" s="11">
        <v>5.24</v>
      </c>
      <c r="X18" s="11">
        <v>2</v>
      </c>
      <c r="Y18" s="11">
        <v>2</v>
      </c>
    </row>
    <row r="19" spans="8:25" x14ac:dyDescent="0.4">
      <c r="H19" s="10"/>
      <c r="I19" s="11"/>
      <c r="J19" s="11"/>
      <c r="K19" s="11"/>
      <c r="O19" s="9" t="s">
        <v>26</v>
      </c>
      <c r="P19">
        <v>4.4000000000000004</v>
      </c>
      <c r="Q19">
        <v>4.6399999999999997</v>
      </c>
      <c r="R19">
        <v>3.67</v>
      </c>
      <c r="T19" s="10">
        <v>45323</v>
      </c>
      <c r="U19" s="11">
        <v>4.4000000000000004</v>
      </c>
      <c r="V19" s="11">
        <v>4.6399999999999997</v>
      </c>
      <c r="W19" s="11">
        <v>3.67</v>
      </c>
      <c r="X19" s="11">
        <v>2</v>
      </c>
      <c r="Y19" s="11">
        <v>2</v>
      </c>
    </row>
    <row r="20" spans="8:25" x14ac:dyDescent="0.4">
      <c r="H20" s="10"/>
      <c r="I20" s="11"/>
      <c r="J20" s="11"/>
      <c r="K20" s="11"/>
      <c r="O20" s="9" t="s">
        <v>27</v>
      </c>
      <c r="P20">
        <v>4.42</v>
      </c>
      <c r="Q20">
        <v>4.55</v>
      </c>
      <c r="R20">
        <v>4.03</v>
      </c>
      <c r="T20" s="10">
        <v>45352</v>
      </c>
      <c r="U20" s="11">
        <v>4.42</v>
      </c>
      <c r="V20" s="11">
        <v>4.55</v>
      </c>
      <c r="W20" s="11">
        <v>4.03</v>
      </c>
      <c r="X20" s="11">
        <v>2</v>
      </c>
      <c r="Y20" s="11">
        <v>2</v>
      </c>
    </row>
    <row r="21" spans="8:25" x14ac:dyDescent="0.4">
      <c r="H21" s="10"/>
      <c r="I21" s="11"/>
      <c r="J21" s="11"/>
      <c r="K21" s="11"/>
      <c r="O21" s="9" t="s">
        <v>28</v>
      </c>
      <c r="P21">
        <v>4.6500000000000004</v>
      </c>
      <c r="Q21">
        <v>4.37</v>
      </c>
      <c r="R21">
        <v>5.54</v>
      </c>
      <c r="T21" s="10">
        <v>45383</v>
      </c>
      <c r="U21" s="11">
        <v>4.6500000000000004</v>
      </c>
      <c r="V21" s="11">
        <v>4.37</v>
      </c>
      <c r="W21" s="11">
        <v>5.54</v>
      </c>
      <c r="X21" s="11">
        <v>2</v>
      </c>
      <c r="Y21" s="11">
        <v>2</v>
      </c>
    </row>
    <row r="22" spans="8:25" x14ac:dyDescent="0.4">
      <c r="O22" s="9" t="s">
        <v>29</v>
      </c>
      <c r="P22">
        <v>4.6900000000000004</v>
      </c>
      <c r="Q22">
        <v>4.21</v>
      </c>
      <c r="R22">
        <v>6.19</v>
      </c>
      <c r="T22" s="10">
        <v>45413</v>
      </c>
      <c r="U22" s="11">
        <v>4.6900000000000004</v>
      </c>
      <c r="V22" s="11">
        <v>4.21</v>
      </c>
      <c r="W22" s="11">
        <v>6.19</v>
      </c>
      <c r="X22" s="11">
        <v>2</v>
      </c>
      <c r="Y22" s="11">
        <v>2</v>
      </c>
    </row>
    <row r="23" spans="8:25" x14ac:dyDescent="0.4">
      <c r="O23" s="9" t="s">
        <v>30</v>
      </c>
      <c r="P23">
        <v>4.9800000000000004</v>
      </c>
      <c r="Q23">
        <v>4.13</v>
      </c>
      <c r="R23">
        <v>7.67</v>
      </c>
      <c r="T23" s="10">
        <v>45444</v>
      </c>
      <c r="U23" s="11">
        <v>4.9800000000000004</v>
      </c>
      <c r="V23" s="11">
        <v>4.13</v>
      </c>
      <c r="W23" s="11">
        <v>7.67</v>
      </c>
      <c r="X23" s="11">
        <v>2</v>
      </c>
      <c r="Y23" s="11">
        <v>2</v>
      </c>
    </row>
    <row r="24" spans="8:25" x14ac:dyDescent="0.4">
      <c r="O24" s="9" t="s">
        <v>31</v>
      </c>
      <c r="P24">
        <v>5.57</v>
      </c>
      <c r="Q24">
        <v>4.05</v>
      </c>
      <c r="R24">
        <v>10.36</v>
      </c>
      <c r="T24" s="10">
        <v>45474</v>
      </c>
      <c r="U24" s="11">
        <v>5.57</v>
      </c>
      <c r="V24" s="11">
        <v>4.05</v>
      </c>
      <c r="W24" s="11">
        <v>10.36</v>
      </c>
      <c r="X24" s="11">
        <v>2</v>
      </c>
      <c r="Y24" s="11">
        <v>2</v>
      </c>
    </row>
    <row r="25" spans="8:25" x14ac:dyDescent="0.4">
      <c r="O25" s="9" t="s">
        <v>32</v>
      </c>
      <c r="P25">
        <v>4.99</v>
      </c>
      <c r="Q25">
        <v>4</v>
      </c>
      <c r="R25">
        <v>8.0299999999999994</v>
      </c>
      <c r="T25" s="10">
        <v>45505</v>
      </c>
      <c r="U25" s="11">
        <v>4.99</v>
      </c>
      <c r="V25" s="11">
        <v>4</v>
      </c>
      <c r="W25" s="11">
        <v>8.0299999999999994</v>
      </c>
      <c r="X25" s="11">
        <v>2</v>
      </c>
      <c r="Y25" s="11">
        <v>2</v>
      </c>
    </row>
    <row r="26" spans="8:25" x14ac:dyDescent="0.4">
      <c r="O26" s="9" t="s">
        <v>33</v>
      </c>
      <c r="P26">
        <v>4.58</v>
      </c>
      <c r="Q26">
        <v>3.91</v>
      </c>
      <c r="R26">
        <v>6.5</v>
      </c>
      <c r="T26" s="10">
        <v>45536</v>
      </c>
      <c r="U26" s="11">
        <v>4.58</v>
      </c>
      <c r="V26" s="11">
        <v>3.91</v>
      </c>
      <c r="W26" s="11">
        <v>6.5</v>
      </c>
      <c r="X26" s="11">
        <v>2</v>
      </c>
      <c r="Y26" s="11">
        <v>2</v>
      </c>
    </row>
    <row r="27" spans="8:25" x14ac:dyDescent="0.4">
      <c r="O27" s="9" t="s">
        <v>34</v>
      </c>
      <c r="P27">
        <v>4.76</v>
      </c>
      <c r="Q27">
        <v>3.8</v>
      </c>
      <c r="R27">
        <v>7.68</v>
      </c>
      <c r="T27" s="10">
        <v>45566</v>
      </c>
      <c r="U27" s="11">
        <v>4.76</v>
      </c>
      <c r="V27" s="11">
        <v>3.8</v>
      </c>
      <c r="W27" s="11">
        <v>7.68</v>
      </c>
      <c r="X27" s="11">
        <v>2</v>
      </c>
      <c r="Y27" s="11">
        <v>2</v>
      </c>
    </row>
    <row r="28" spans="8:25" x14ac:dyDescent="0.4">
      <c r="O28" s="9" t="s">
        <v>35</v>
      </c>
      <c r="P28">
        <v>4.55</v>
      </c>
      <c r="Q28">
        <v>3.58</v>
      </c>
      <c r="R28">
        <v>7.6</v>
      </c>
      <c r="T28" s="10">
        <v>45597</v>
      </c>
      <c r="U28" s="11">
        <v>4.55</v>
      </c>
      <c r="V28" s="11">
        <v>3.58</v>
      </c>
      <c r="W28" s="11">
        <v>7.6</v>
      </c>
      <c r="X28" s="11">
        <v>2</v>
      </c>
      <c r="Y28" s="11">
        <v>2</v>
      </c>
    </row>
    <row r="29" spans="8:25" x14ac:dyDescent="0.4">
      <c r="O29" s="9" t="s">
        <v>36</v>
      </c>
      <c r="P29">
        <v>4.21</v>
      </c>
      <c r="Q29">
        <v>3.65</v>
      </c>
      <c r="R29">
        <v>5.95</v>
      </c>
      <c r="T29" s="10">
        <v>45627</v>
      </c>
      <c r="U29" s="11">
        <v>4.21</v>
      </c>
      <c r="V29" s="11">
        <v>3.65</v>
      </c>
      <c r="W29" s="11">
        <v>5.95</v>
      </c>
      <c r="X29" s="11">
        <v>2</v>
      </c>
      <c r="Y29" s="11">
        <v>2</v>
      </c>
    </row>
    <row r="30" spans="8:25" x14ac:dyDescent="0.4">
      <c r="O30" s="9" t="s">
        <v>37</v>
      </c>
      <c r="P30">
        <v>3.59</v>
      </c>
      <c r="Q30">
        <v>3.66</v>
      </c>
      <c r="R30">
        <v>3.34</v>
      </c>
      <c r="T30" s="10">
        <v>45658</v>
      </c>
      <c r="U30" s="11">
        <v>3.59</v>
      </c>
      <c r="V30" s="11">
        <v>3.66</v>
      </c>
      <c r="W30" s="11">
        <v>3.34</v>
      </c>
      <c r="X30" s="11">
        <v>2</v>
      </c>
      <c r="Y30" s="11">
        <v>2</v>
      </c>
    </row>
    <row r="31" spans="8:25" x14ac:dyDescent="0.4">
      <c r="O31" s="9" t="s">
        <v>38</v>
      </c>
      <c r="P31">
        <v>3.77</v>
      </c>
      <c r="Q31">
        <v>3.65</v>
      </c>
      <c r="R31">
        <v>4.08</v>
      </c>
      <c r="T31" s="10">
        <v>45689</v>
      </c>
      <c r="U31" s="11">
        <v>3.77</v>
      </c>
      <c r="V31" s="11">
        <v>3.65</v>
      </c>
      <c r="W31" s="11">
        <v>4.08</v>
      </c>
      <c r="X31" s="11">
        <v>2</v>
      </c>
      <c r="Y31" s="11">
        <v>2</v>
      </c>
    </row>
    <row r="32" spans="8:25" x14ac:dyDescent="0.4">
      <c r="O32" s="9" t="s">
        <v>39</v>
      </c>
      <c r="P32">
        <v>3.8</v>
      </c>
      <c r="Q32">
        <v>3.64</v>
      </c>
      <c r="R32">
        <v>4.16</v>
      </c>
      <c r="T32" s="10">
        <v>45717</v>
      </c>
      <c r="U32" s="11">
        <v>3.8</v>
      </c>
      <c r="V32" s="11">
        <v>3.64</v>
      </c>
      <c r="W32" s="11">
        <v>4.16</v>
      </c>
      <c r="X32" s="11">
        <v>2</v>
      </c>
      <c r="Y32" s="11">
        <v>2</v>
      </c>
    </row>
    <row r="33" spans="15:25" x14ac:dyDescent="0.4">
      <c r="O33" s="9" t="s">
        <v>40</v>
      </c>
      <c r="P33">
        <v>3.93</v>
      </c>
      <c r="Q33">
        <v>3.93</v>
      </c>
      <c r="R33">
        <v>3.76</v>
      </c>
      <c r="T33" s="10">
        <v>45748</v>
      </c>
      <c r="U33" s="11">
        <v>3.93</v>
      </c>
      <c r="V33" s="11">
        <v>3.93</v>
      </c>
      <c r="W33" s="11">
        <v>3.76</v>
      </c>
      <c r="X33" s="11">
        <v>2</v>
      </c>
      <c r="Y33" s="11">
        <v>2</v>
      </c>
    </row>
    <row r="34" spans="15:25" x14ac:dyDescent="0.4">
      <c r="O34" s="9" t="s">
        <v>41</v>
      </c>
      <c r="P34">
        <v>4.42</v>
      </c>
      <c r="Q34">
        <v>4.0599999999999996</v>
      </c>
      <c r="R34">
        <v>5.34</v>
      </c>
      <c r="T34" s="10">
        <v>45778</v>
      </c>
      <c r="U34" s="11">
        <v>4.42</v>
      </c>
      <c r="V34" s="11">
        <v>4.0599999999999996</v>
      </c>
      <c r="W34" s="11">
        <v>5.34</v>
      </c>
      <c r="X34" s="11">
        <v>2</v>
      </c>
      <c r="Y34" s="11">
        <v>2</v>
      </c>
    </row>
    <row r="35" spans="15:25" x14ac:dyDescent="0.4">
      <c r="O35" s="9" t="s">
        <v>42</v>
      </c>
      <c r="P35">
        <v>4.32</v>
      </c>
      <c r="Q35">
        <v>4.24</v>
      </c>
      <c r="R35">
        <v>4.33</v>
      </c>
      <c r="T35" s="10">
        <v>45809</v>
      </c>
      <c r="U35" s="11">
        <v>4.32</v>
      </c>
      <c r="V35" s="11">
        <v>4.24</v>
      </c>
      <c r="W35" s="11">
        <v>4.33</v>
      </c>
      <c r="X35" s="11">
        <v>2</v>
      </c>
      <c r="Y35" s="11">
        <v>2</v>
      </c>
    </row>
    <row r="36" spans="15:25" x14ac:dyDescent="0.4">
      <c r="O36" s="9" t="s">
        <v>43</v>
      </c>
      <c r="P36">
        <v>3.51</v>
      </c>
      <c r="Q36">
        <v>4.2300000000000004</v>
      </c>
      <c r="R36">
        <v>1.1399999999999999</v>
      </c>
      <c r="T36" s="10">
        <v>45839</v>
      </c>
      <c r="U36" s="11">
        <v>3.51</v>
      </c>
      <c r="V36" s="11">
        <v>4.2300000000000004</v>
      </c>
      <c r="W36" s="11">
        <v>1.1399999999999999</v>
      </c>
      <c r="X36" s="11">
        <v>2</v>
      </c>
      <c r="Y36" s="11">
        <v>2</v>
      </c>
    </row>
    <row r="37" spans="15:25" x14ac:dyDescent="0.4">
      <c r="O37" s="9" t="s">
        <v>44</v>
      </c>
      <c r="P37">
        <v>3.57</v>
      </c>
      <c r="Q37">
        <v>4.2300000000000004</v>
      </c>
      <c r="R37">
        <v>1.38</v>
      </c>
      <c r="T37" s="10">
        <v>45870</v>
      </c>
      <c r="U37" s="11">
        <v>3.57</v>
      </c>
      <c r="V37" s="11">
        <v>4.2300000000000004</v>
      </c>
      <c r="W37" s="11">
        <v>1.38</v>
      </c>
      <c r="X37" s="11">
        <v>2</v>
      </c>
      <c r="Y37" s="11">
        <v>2</v>
      </c>
    </row>
    <row r="38" spans="15:25" x14ac:dyDescent="0.4">
      <c r="O38" s="9" t="s">
        <v>45</v>
      </c>
      <c r="P38">
        <v>3.76</v>
      </c>
      <c r="Q38">
        <v>4.28</v>
      </c>
      <c r="R38">
        <v>2.02</v>
      </c>
      <c r="T38" s="10">
        <v>45901</v>
      </c>
      <c r="U38" s="11">
        <v>3.76</v>
      </c>
      <c r="V38" s="11">
        <v>4.28</v>
      </c>
      <c r="W38" s="11">
        <v>2.02</v>
      </c>
      <c r="X38" s="11">
        <v>2</v>
      </c>
      <c r="Y38" s="11">
        <v>2</v>
      </c>
    </row>
    <row r="39" spans="15:25" x14ac:dyDescent="0.4">
      <c r="O39" s="9" t="s">
        <v>46</v>
      </c>
      <c r="P39">
        <v>3.57</v>
      </c>
      <c r="Q39">
        <v>4.28</v>
      </c>
      <c r="R39">
        <v>1.18</v>
      </c>
      <c r="T39" s="10">
        <v>45931</v>
      </c>
      <c r="U39" s="11">
        <v>3.57</v>
      </c>
      <c r="V39" s="11">
        <v>4.28</v>
      </c>
      <c r="W39" s="11">
        <v>1.18</v>
      </c>
      <c r="X39" s="11">
        <v>2</v>
      </c>
      <c r="Y39" s="11">
        <v>2</v>
      </c>
    </row>
    <row r="40" spans="15:25" x14ac:dyDescent="0.4">
      <c r="O40" s="9" t="s">
        <v>47</v>
      </c>
      <c r="P40">
        <v>3.8</v>
      </c>
      <c r="Q40">
        <v>4.43</v>
      </c>
      <c r="R40">
        <v>1.73</v>
      </c>
      <c r="T40" s="10">
        <v>45962</v>
      </c>
      <c r="U40" s="11">
        <v>3.8</v>
      </c>
      <c r="V40" s="11">
        <v>4.43</v>
      </c>
      <c r="W40" s="11">
        <v>1.73</v>
      </c>
      <c r="X40" s="11">
        <v>2</v>
      </c>
      <c r="Y40" s="11">
        <v>2</v>
      </c>
    </row>
    <row r="41" spans="15:25" x14ac:dyDescent="0.4">
      <c r="O41" s="12" t="s">
        <v>48</v>
      </c>
      <c r="P41">
        <v>3.69</v>
      </c>
      <c r="Q41">
        <v>4.33</v>
      </c>
      <c r="R41">
        <v>1.61</v>
      </c>
      <c r="T41" s="10">
        <v>45992</v>
      </c>
      <c r="U41" s="11">
        <v>3.69</v>
      </c>
      <c r="V41" s="11">
        <v>4.33</v>
      </c>
      <c r="W41" s="11">
        <v>1.61</v>
      </c>
      <c r="X41" s="11">
        <v>2</v>
      </c>
      <c r="Y41" s="11">
        <v>2</v>
      </c>
    </row>
    <row r="42" spans="15:25" x14ac:dyDescent="0.4">
      <c r="O42" s="9" t="s">
        <v>49</v>
      </c>
      <c r="P42">
        <v>3.79</v>
      </c>
      <c r="Q42">
        <v>4.5199999999999996</v>
      </c>
      <c r="R42">
        <v>1.39</v>
      </c>
      <c r="T42" s="10">
        <v>46023</v>
      </c>
      <c r="U42" s="13">
        <v>3.79</v>
      </c>
      <c r="V42" s="13">
        <v>4.5199999999999996</v>
      </c>
      <c r="W42" s="13">
        <v>1.39</v>
      </c>
      <c r="X42" s="13">
        <v>2</v>
      </c>
      <c r="Y42" s="13">
        <v>2</v>
      </c>
    </row>
    <row r="43" spans="15:25" x14ac:dyDescent="0.4">
      <c r="O43" s="9" t="s">
        <v>50</v>
      </c>
      <c r="P43">
        <v>4.0199999999999996</v>
      </c>
      <c r="Q43">
        <v>4.5</v>
      </c>
      <c r="R43">
        <v>2.44</v>
      </c>
      <c r="T43" s="10">
        <v>46054</v>
      </c>
      <c r="U43" s="13">
        <v>4.0199999999999996</v>
      </c>
      <c r="V43" s="13">
        <v>4.5</v>
      </c>
      <c r="W43" s="13">
        <v>2.44</v>
      </c>
      <c r="X43" s="13">
        <v>2</v>
      </c>
      <c r="Y43" s="13">
        <v>2</v>
      </c>
    </row>
    <row r="44" spans="15:25" x14ac:dyDescent="0.4">
      <c r="O44" s="9" t="s">
        <v>51</v>
      </c>
      <c r="P44">
        <v>4.59</v>
      </c>
      <c r="Q44">
        <v>4.45</v>
      </c>
      <c r="R44">
        <v>5.05</v>
      </c>
      <c r="T44" s="10">
        <v>46082</v>
      </c>
      <c r="U44" s="13">
        <v>4.59</v>
      </c>
      <c r="V44" s="13">
        <v>4.45</v>
      </c>
      <c r="W44" s="13">
        <v>5.05</v>
      </c>
      <c r="X44" s="13">
        <v>2</v>
      </c>
      <c r="Y44" s="13">
        <v>2</v>
      </c>
    </row>
    <row r="46" spans="15:25" x14ac:dyDescent="0.4">
      <c r="O46" s="14" t="s">
        <v>52</v>
      </c>
      <c r="P46" s="14"/>
      <c r="Q46" s="14"/>
      <c r="R46" s="14"/>
    </row>
    <row r="47" spans="15:25" x14ac:dyDescent="0.4">
      <c r="O47" s="14" t="s">
        <v>53</v>
      </c>
      <c r="P47" s="14"/>
      <c r="Q47" s="14"/>
      <c r="R47" s="14"/>
    </row>
  </sheetData>
  <mergeCells count="2">
    <mergeCell ref="O46:R46"/>
    <mergeCell ref="O47:R47"/>
  </mergeCells>
  <pageMargins left="0.7" right="0.7" top="0.75" bottom="0.75" header="0.3" footer="0.3"/>
  <pageSetup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10264-9235-4F2A-A906-873151DA3A38}">
  <dimension ref="B1:AF45"/>
  <sheetViews>
    <sheetView showGridLines="0" zoomScale="61" zoomScaleNormal="94" workbookViewId="0">
      <selection activeCell="K14" sqref="K14"/>
    </sheetView>
  </sheetViews>
  <sheetFormatPr baseColWidth="10" defaultRowHeight="17.399999999999999" x14ac:dyDescent="0.4"/>
  <cols>
    <col min="15" max="22" width="14.81640625" customWidth="1"/>
    <col min="24" max="24" width="16.453125" customWidth="1"/>
    <col min="25" max="25" width="12.90625" bestFit="1" customWidth="1"/>
    <col min="26" max="27" width="12.453125" bestFit="1" customWidth="1"/>
    <col min="28" max="28" width="12.453125" customWidth="1"/>
    <col min="29" max="31" width="12.453125" bestFit="1" customWidth="1"/>
  </cols>
  <sheetData>
    <row r="1" spans="2:32" x14ac:dyDescent="0.4">
      <c r="O1" s="1" t="s">
        <v>0</v>
      </c>
    </row>
    <row r="2" spans="2:32" x14ac:dyDescent="0.4">
      <c r="B2" s="2"/>
      <c r="O2" s="3" t="s">
        <v>1</v>
      </c>
    </row>
    <row r="3" spans="2:32" x14ac:dyDescent="0.4">
      <c r="B3" s="4"/>
      <c r="O3" s="5" t="s">
        <v>54</v>
      </c>
    </row>
    <row r="4" spans="2:32" x14ac:dyDescent="0.4">
      <c r="B4" s="4"/>
      <c r="X4" t="s">
        <v>55</v>
      </c>
    </row>
    <row r="5" spans="2:32" x14ac:dyDescent="0.4">
      <c r="B5" s="4"/>
      <c r="O5" s="6" t="s">
        <v>3</v>
      </c>
      <c r="P5" s="6" t="s">
        <v>56</v>
      </c>
      <c r="Q5" s="6" t="s">
        <v>57</v>
      </c>
      <c r="R5" s="6" t="s">
        <v>58</v>
      </c>
      <c r="S5" s="6" t="s">
        <v>59</v>
      </c>
      <c r="T5" s="6" t="s">
        <v>60</v>
      </c>
      <c r="U5" s="6" t="s">
        <v>61</v>
      </c>
      <c r="V5" s="6" t="s">
        <v>62</v>
      </c>
      <c r="W5" s="7"/>
      <c r="X5" s="15" t="s">
        <v>7</v>
      </c>
      <c r="Y5" s="15" t="s">
        <v>63</v>
      </c>
      <c r="Z5" s="15" t="s">
        <v>64</v>
      </c>
      <c r="AA5" s="15" t="s">
        <v>65</v>
      </c>
      <c r="AB5" s="15" t="s">
        <v>66</v>
      </c>
      <c r="AC5" s="15" t="s">
        <v>67</v>
      </c>
      <c r="AD5" s="15" t="s">
        <v>68</v>
      </c>
      <c r="AE5" s="15" t="s">
        <v>69</v>
      </c>
      <c r="AF5" s="16"/>
    </row>
    <row r="6" spans="2:32" x14ac:dyDescent="0.4">
      <c r="B6" s="4"/>
      <c r="O6" s="9" t="s">
        <v>70</v>
      </c>
      <c r="P6">
        <v>23568390.171999998</v>
      </c>
      <c r="Q6">
        <v>9380661.227</v>
      </c>
      <c r="R6">
        <v>15908354.498</v>
      </c>
      <c r="S6">
        <v>2685536.3569999998</v>
      </c>
      <c r="T6">
        <v>8826359.3100000005</v>
      </c>
      <c r="U6">
        <v>4708005.7309999997</v>
      </c>
      <c r="V6">
        <v>657808.98699999996</v>
      </c>
      <c r="X6" s="15">
        <v>2018</v>
      </c>
      <c r="Y6" s="17">
        <f>SUM(P6:P9)</f>
        <v>96706681.505999997</v>
      </c>
      <c r="Z6" s="17">
        <f>SUM(Q6:Q9)</f>
        <v>39812913.772</v>
      </c>
      <c r="AA6" s="17">
        <f>SUM(R6:R9)</f>
        <v>65171610.319000006</v>
      </c>
      <c r="AB6" s="17">
        <f>SUM(S6:S9)</f>
        <v>10885591.068</v>
      </c>
      <c r="AC6" s="18">
        <f t="shared" ref="AC6:AE6" si="0">SUM(T6:T9)</f>
        <v>37758089.456</v>
      </c>
      <c r="AD6" s="18">
        <f t="shared" si="0"/>
        <v>19437324.932999998</v>
      </c>
      <c r="AE6" s="17">
        <f t="shared" si="0"/>
        <v>2851121.1749999998</v>
      </c>
      <c r="AF6" s="19"/>
    </row>
    <row r="7" spans="2:32" x14ac:dyDescent="0.4">
      <c r="B7" s="4"/>
      <c r="O7" s="9" t="s">
        <v>71</v>
      </c>
      <c r="P7">
        <v>24395733.688000001</v>
      </c>
      <c r="Q7">
        <v>9902369.2440000009</v>
      </c>
      <c r="R7">
        <v>16222973.077</v>
      </c>
      <c r="S7">
        <v>2708918.2140000002</v>
      </c>
      <c r="T7">
        <v>9579913.4619999994</v>
      </c>
      <c r="U7">
        <v>4877464.7309999997</v>
      </c>
      <c r="V7">
        <v>694409.49600000004</v>
      </c>
      <c r="X7" s="15">
        <v>2019</v>
      </c>
      <c r="Y7" s="17">
        <f>SUM(P10:P13)</f>
        <v>96326923.541999996</v>
      </c>
      <c r="Z7" s="17">
        <f t="shared" ref="Z7:AE7" si="1">SUM(Q10:Q13)</f>
        <v>39382545.308000006</v>
      </c>
      <c r="AA7" s="17">
        <f t="shared" si="1"/>
        <v>65756990.758999996</v>
      </c>
      <c r="AB7" s="17">
        <f t="shared" si="1"/>
        <v>10696381.885</v>
      </c>
      <c r="AC7" s="17">
        <f t="shared" si="1"/>
        <v>38197692.920999996</v>
      </c>
      <c r="AD7" s="17">
        <f t="shared" si="1"/>
        <v>18885760.669</v>
      </c>
      <c r="AE7" s="17">
        <f t="shared" si="1"/>
        <v>2415195.56</v>
      </c>
      <c r="AF7" s="19"/>
    </row>
    <row r="8" spans="2:32" x14ac:dyDescent="0.4">
      <c r="B8" s="4"/>
      <c r="O8" s="9" t="s">
        <v>72</v>
      </c>
      <c r="P8">
        <v>24137286.228</v>
      </c>
      <c r="Q8">
        <v>10161088.002</v>
      </c>
      <c r="R8">
        <v>16397478.797</v>
      </c>
      <c r="S8">
        <v>2693537.8080000002</v>
      </c>
      <c r="T8">
        <v>9345374.8379999995</v>
      </c>
      <c r="U8">
        <v>4873996.0109999999</v>
      </c>
      <c r="V8">
        <v>730065.11699999997</v>
      </c>
      <c r="X8" s="15">
        <v>2020</v>
      </c>
      <c r="Y8" s="17">
        <f>SUM(P14:P17)</f>
        <v>88279739.027999997</v>
      </c>
      <c r="Z8" s="17">
        <f t="shared" ref="Z8:AE8" si="2">SUM(Q14:Q17)</f>
        <v>34660249.511</v>
      </c>
      <c r="AA8" s="17">
        <f t="shared" si="2"/>
        <v>59290554.317000002</v>
      </c>
      <c r="AB8" s="17">
        <f t="shared" si="2"/>
        <v>10618148.175999999</v>
      </c>
      <c r="AC8" s="17">
        <f t="shared" si="2"/>
        <v>35516737.144999996</v>
      </c>
      <c r="AD8" s="17">
        <f t="shared" si="2"/>
        <v>15368108.604</v>
      </c>
      <c r="AE8" s="17">
        <f t="shared" si="2"/>
        <v>2276589.0869999998</v>
      </c>
      <c r="AF8" s="19"/>
    </row>
    <row r="9" spans="2:32" x14ac:dyDescent="0.4">
      <c r="O9" s="9" t="s">
        <v>73</v>
      </c>
      <c r="P9">
        <v>24605271.418000001</v>
      </c>
      <c r="Q9">
        <v>10368795.299000001</v>
      </c>
      <c r="R9">
        <v>16642803.947000001</v>
      </c>
      <c r="S9">
        <v>2797598.6889999998</v>
      </c>
      <c r="T9">
        <v>10006441.846000001</v>
      </c>
      <c r="U9">
        <v>4977858.46</v>
      </c>
      <c r="V9">
        <v>768837.57499999995</v>
      </c>
      <c r="X9" s="15">
        <v>2021</v>
      </c>
      <c r="Y9" s="17">
        <f>SUM(P18:P21)</f>
        <v>93619324.452000007</v>
      </c>
      <c r="Z9" s="17">
        <f t="shared" ref="Z9:AE9" si="3">SUM(Q18:Q21)</f>
        <v>40118494.371999994</v>
      </c>
      <c r="AA9" s="17">
        <f t="shared" si="3"/>
        <v>64280762.539999999</v>
      </c>
      <c r="AB9" s="17">
        <f t="shared" si="3"/>
        <v>10569962.971999999</v>
      </c>
      <c r="AC9" s="17">
        <f t="shared" si="3"/>
        <v>38033327.435000002</v>
      </c>
      <c r="AD9" s="17">
        <f t="shared" si="3"/>
        <v>17298219.506999999</v>
      </c>
      <c r="AE9" s="17">
        <f t="shared" si="3"/>
        <v>2196929.4390000002</v>
      </c>
      <c r="AF9" s="19"/>
    </row>
    <row r="10" spans="2:32" x14ac:dyDescent="0.4">
      <c r="F10" s="2"/>
      <c r="O10" s="9" t="s">
        <v>74</v>
      </c>
      <c r="P10">
        <v>23790592.907000002</v>
      </c>
      <c r="Q10">
        <v>9506246.773</v>
      </c>
      <c r="R10">
        <v>16090919.947000001</v>
      </c>
      <c r="S10">
        <v>2666003.5729999999</v>
      </c>
      <c r="T10">
        <v>9115595</v>
      </c>
      <c r="U10">
        <v>4661485.7220000001</v>
      </c>
      <c r="V10">
        <v>633350.28899999999</v>
      </c>
      <c r="X10" s="15">
        <v>2022</v>
      </c>
      <c r="Y10" s="17">
        <f>SUM(P22:P25)</f>
        <v>97092373.97299999</v>
      </c>
      <c r="Z10" s="17">
        <f t="shared" ref="Z10:AE10" si="4">SUM(Q22:Q25)</f>
        <v>43579653.023999996</v>
      </c>
      <c r="AA10" s="17">
        <f t="shared" si="4"/>
        <v>67386429.972000003</v>
      </c>
      <c r="AB10" s="17">
        <f t="shared" si="4"/>
        <v>10783232.050999999</v>
      </c>
      <c r="AC10" s="17">
        <f t="shared" si="4"/>
        <v>41648950.568000004</v>
      </c>
      <c r="AD10" s="17">
        <f t="shared" si="4"/>
        <v>18598255.006999999</v>
      </c>
      <c r="AE10" s="17">
        <f t="shared" si="4"/>
        <v>2354993.2639999995</v>
      </c>
      <c r="AF10" s="19"/>
    </row>
    <row r="11" spans="2:32" x14ac:dyDescent="0.4">
      <c r="F11" s="4"/>
      <c r="O11" s="9" t="s">
        <v>75</v>
      </c>
      <c r="P11">
        <v>24154801.612</v>
      </c>
      <c r="Q11">
        <v>9758267.8530000001</v>
      </c>
      <c r="R11">
        <v>16237198.585000001</v>
      </c>
      <c r="S11">
        <v>2636885.8820000002</v>
      </c>
      <c r="T11">
        <v>9841704.7430000007</v>
      </c>
      <c r="U11">
        <v>4678454.142</v>
      </c>
      <c r="V11">
        <v>562354.59100000001</v>
      </c>
      <c r="X11" s="15">
        <v>2023</v>
      </c>
      <c r="Y11" s="17">
        <f>SUM(P26:P29)</f>
        <v>100108836.36300001</v>
      </c>
      <c r="Z11" s="17">
        <f t="shared" ref="Z11:AE11" si="5">SUM(Q26:Q29)</f>
        <v>45180978.119999997</v>
      </c>
      <c r="AA11" s="17">
        <f t="shared" si="5"/>
        <v>70196600.083999991</v>
      </c>
      <c r="AB11" s="17">
        <f t="shared" si="5"/>
        <v>11045890.699999999</v>
      </c>
      <c r="AC11" s="17">
        <f t="shared" si="5"/>
        <v>38675459.048</v>
      </c>
      <c r="AD11" s="17">
        <f t="shared" si="5"/>
        <v>20919917.235999998</v>
      </c>
      <c r="AE11" s="17">
        <f t="shared" si="5"/>
        <v>2945492.3470000001</v>
      </c>
      <c r="AF11" s="19"/>
    </row>
    <row r="12" spans="2:32" x14ac:dyDescent="0.4">
      <c r="F12" s="4"/>
      <c r="O12" s="9" t="s">
        <v>76</v>
      </c>
      <c r="P12">
        <v>24024905.701000001</v>
      </c>
      <c r="Q12">
        <v>10177697.516000001</v>
      </c>
      <c r="R12">
        <v>16560572.202</v>
      </c>
      <c r="S12">
        <v>2629842.4190000002</v>
      </c>
      <c r="T12">
        <v>9615598.0979999993</v>
      </c>
      <c r="U12">
        <v>4690713.9929999998</v>
      </c>
      <c r="V12">
        <v>607871.95900000003</v>
      </c>
      <c r="X12" s="15">
        <v>2024</v>
      </c>
      <c r="Y12" s="17">
        <f>SUM(P30:P33)</f>
        <v>101460882.595</v>
      </c>
      <c r="Z12" s="17">
        <f t="shared" ref="Z12:AE12" si="6">SUM(Q30:Q33)</f>
        <v>46650898.528999999</v>
      </c>
      <c r="AA12" s="17">
        <f t="shared" si="6"/>
        <v>71993485.312000006</v>
      </c>
      <c r="AB12" s="17">
        <f t="shared" si="6"/>
        <v>11453449.74</v>
      </c>
      <c r="AC12" s="17">
        <f t="shared" si="6"/>
        <v>40026860.931999996</v>
      </c>
      <c r="AD12" s="17">
        <f t="shared" si="6"/>
        <v>20796792.684999999</v>
      </c>
      <c r="AE12" s="17">
        <f t="shared" si="6"/>
        <v>3902242.3130000001</v>
      </c>
      <c r="AF12" s="19"/>
    </row>
    <row r="13" spans="2:32" x14ac:dyDescent="0.4">
      <c r="F13" s="4"/>
      <c r="O13" s="9" t="s">
        <v>77</v>
      </c>
      <c r="P13">
        <v>24356623.322000001</v>
      </c>
      <c r="Q13">
        <v>9940333.1659999993</v>
      </c>
      <c r="R13">
        <v>16868300.024999999</v>
      </c>
      <c r="S13">
        <v>2763650.0109999999</v>
      </c>
      <c r="T13">
        <v>9624795.0800000001</v>
      </c>
      <c r="U13">
        <v>4855106.8119999999</v>
      </c>
      <c r="V13">
        <v>611618.72100000002</v>
      </c>
      <c r="X13" s="15">
        <v>2025</v>
      </c>
      <c r="Y13" s="17">
        <f>SUM(P34:P37)</f>
        <v>102030771.58700001</v>
      </c>
      <c r="Z13" s="17">
        <f t="shared" ref="Z13:AE13" si="7">SUM(Q34:Q37)</f>
        <v>48098225.555</v>
      </c>
      <c r="AA13" s="17">
        <f t="shared" si="7"/>
        <v>72790200.614000008</v>
      </c>
      <c r="AB13" s="17">
        <f t="shared" si="7"/>
        <v>11598347.901000001</v>
      </c>
      <c r="AC13" s="17">
        <f t="shared" si="7"/>
        <v>42811009.976999998</v>
      </c>
      <c r="AD13" s="17">
        <f t="shared" si="7"/>
        <v>19964914.27</v>
      </c>
      <c r="AE13" s="17">
        <f t="shared" si="7"/>
        <v>3165955.267</v>
      </c>
    </row>
    <row r="14" spans="2:32" x14ac:dyDescent="0.4">
      <c r="F14" s="4"/>
      <c r="O14" s="9" t="s">
        <v>78</v>
      </c>
      <c r="P14">
        <v>23449972.173999999</v>
      </c>
      <c r="Q14">
        <v>9248408.0669999998</v>
      </c>
      <c r="R14">
        <v>15986889.536</v>
      </c>
      <c r="S14">
        <v>2645680.4580000001</v>
      </c>
      <c r="T14">
        <v>9304629.023</v>
      </c>
      <c r="U14">
        <v>4269728.693</v>
      </c>
      <c r="V14">
        <v>596763.23</v>
      </c>
      <c r="X14" s="15"/>
    </row>
    <row r="15" spans="2:32" x14ac:dyDescent="0.4">
      <c r="O15" s="9" t="s">
        <v>79</v>
      </c>
      <c r="P15">
        <v>19252746.131999999</v>
      </c>
      <c r="Q15">
        <v>7081956.8720000004</v>
      </c>
      <c r="R15">
        <v>12902613.733999999</v>
      </c>
      <c r="S15">
        <v>2631412.2599999998</v>
      </c>
      <c r="T15">
        <v>6877314.7630000003</v>
      </c>
      <c r="U15">
        <v>3008098.2769999998</v>
      </c>
      <c r="V15">
        <v>553670.15899999999</v>
      </c>
      <c r="X15" s="15"/>
      <c r="AF15" s="16"/>
    </row>
    <row r="16" spans="2:32" x14ac:dyDescent="0.4">
      <c r="O16" s="9" t="s">
        <v>80</v>
      </c>
      <c r="P16">
        <v>22072201.561000001</v>
      </c>
      <c r="Q16">
        <v>8648270.0370000005</v>
      </c>
      <c r="R16">
        <v>14671915.467</v>
      </c>
      <c r="S16">
        <v>2624637.2429999998</v>
      </c>
      <c r="T16">
        <v>9380035.6950000003</v>
      </c>
      <c r="U16">
        <v>3776816.622</v>
      </c>
      <c r="V16">
        <v>572045.696</v>
      </c>
    </row>
    <row r="17" spans="15:32" x14ac:dyDescent="0.4">
      <c r="O17" s="9" t="s">
        <v>81</v>
      </c>
      <c r="P17">
        <v>23504819.160999998</v>
      </c>
      <c r="Q17">
        <v>9681614.5350000001</v>
      </c>
      <c r="R17">
        <v>15729135.58</v>
      </c>
      <c r="S17">
        <v>2716418.2149999999</v>
      </c>
      <c r="T17">
        <v>9954757.6640000008</v>
      </c>
      <c r="U17">
        <v>4313465.0120000001</v>
      </c>
      <c r="V17">
        <v>554110.00199999998</v>
      </c>
      <c r="X17" t="s">
        <v>82</v>
      </c>
    </row>
    <row r="18" spans="15:32" x14ac:dyDescent="0.4">
      <c r="O18" s="9" t="s">
        <v>83</v>
      </c>
      <c r="P18">
        <v>22841382.921</v>
      </c>
      <c r="Q18">
        <v>9361419.0409999993</v>
      </c>
      <c r="R18">
        <v>15434245.085999999</v>
      </c>
      <c r="S18">
        <v>2601632.0550000002</v>
      </c>
      <c r="T18">
        <v>8808331.068</v>
      </c>
      <c r="U18">
        <v>4136191.574</v>
      </c>
      <c r="V18">
        <v>529512.63699999999</v>
      </c>
      <c r="X18" s="15" t="s">
        <v>7</v>
      </c>
      <c r="Y18" s="15" t="s">
        <v>63</v>
      </c>
      <c r="Z18" s="15" t="s">
        <v>64</v>
      </c>
      <c r="AA18" s="15" t="s">
        <v>65</v>
      </c>
      <c r="AB18" s="15" t="s">
        <v>66</v>
      </c>
      <c r="AC18" s="15" t="s">
        <v>67</v>
      </c>
      <c r="AD18" s="15" t="s">
        <v>68</v>
      </c>
      <c r="AE18" s="15" t="s">
        <v>69</v>
      </c>
    </row>
    <row r="19" spans="15:32" x14ac:dyDescent="0.4">
      <c r="O19" s="9" t="s">
        <v>84</v>
      </c>
      <c r="P19">
        <v>23623518.489</v>
      </c>
      <c r="Q19">
        <v>9849436.1999999993</v>
      </c>
      <c r="R19">
        <v>15969649.630000001</v>
      </c>
      <c r="S19">
        <v>2653071.5419999999</v>
      </c>
      <c r="T19">
        <v>9495353.8440000005</v>
      </c>
      <c r="U19">
        <v>4251988.0420000004</v>
      </c>
      <c r="V19">
        <v>519238.46500000003</v>
      </c>
      <c r="X19" s="15">
        <v>2019</v>
      </c>
      <c r="Y19" s="20">
        <f>(Y7/Y6)-1</f>
        <v>-3.9269051329865468E-3</v>
      </c>
      <c r="Z19" s="20">
        <f>-((Z7-Z6))/Y6</f>
        <v>4.450245394608982E-3</v>
      </c>
      <c r="AA19" s="21">
        <f>(AA7-AA6)/Y7</f>
        <v>6.0770179143607283E-3</v>
      </c>
      <c r="AB19" s="21">
        <f>(AB7-AB6)/Y6</f>
        <v>-1.9565264783515607E-3</v>
      </c>
      <c r="AC19" s="21">
        <f>(AC7-AC6)/Y6</f>
        <v>4.5457403578957646E-3</v>
      </c>
      <c r="AD19" s="21">
        <f>(AD7-AD6)/Y6</f>
        <v>-5.7034762791005056E-3</v>
      </c>
      <c r="AE19" s="21">
        <f>(AE7-AE6)/Y6</f>
        <v>-4.5077093765538163E-3</v>
      </c>
    </row>
    <row r="20" spans="15:32" x14ac:dyDescent="0.4">
      <c r="O20" s="9" t="s">
        <v>85</v>
      </c>
      <c r="P20">
        <v>23204755.173</v>
      </c>
      <c r="Q20">
        <v>10427372.138</v>
      </c>
      <c r="R20">
        <v>16190864.018999999</v>
      </c>
      <c r="S20">
        <v>2601637.38</v>
      </c>
      <c r="T20">
        <v>9431151.773</v>
      </c>
      <c r="U20">
        <v>4351083.9759999998</v>
      </c>
      <c r="V20">
        <v>564235.45200000005</v>
      </c>
      <c r="X20" s="15">
        <v>2020</v>
      </c>
      <c r="Y20" s="20">
        <f t="shared" ref="Y20:Y25" si="8">(Y8/Y7)-1</f>
        <v>-8.3540345918878045E-2</v>
      </c>
      <c r="Z20" s="20">
        <f t="shared" ref="Z20:Z25" si="9">-((Z8-Z7))/Y7</f>
        <v>4.9023633511362102E-2</v>
      </c>
      <c r="AA20" s="21">
        <f t="shared" ref="AA20:AA25" si="10">(AA8-AA7)/Y8</f>
        <v>-7.3249383303557472E-2</v>
      </c>
      <c r="AB20" s="21">
        <f t="shared" ref="AB20:AB25" si="11">(AB8-AB7)/Y7</f>
        <v>-8.1216866607277923E-4</v>
      </c>
      <c r="AC20" s="21">
        <f t="shared" ref="AC20:AC25" si="12">(AC8-AC7)/Y7</f>
        <v>-2.7831842619068625E-2</v>
      </c>
      <c r="AD20" s="21">
        <f t="shared" ref="AD20:AD25" si="13">(AD8-AD7)/Y7</f>
        <v>-3.6517849170862912E-2</v>
      </c>
      <c r="AE20" s="21">
        <f t="shared" ref="AE20:AE25" si="14">(AE8-AE7)/Y7</f>
        <v>-1.4389172611701411E-3</v>
      </c>
    </row>
    <row r="21" spans="15:32" x14ac:dyDescent="0.4">
      <c r="O21" s="9" t="s">
        <v>86</v>
      </c>
      <c r="P21">
        <v>23949667.868999999</v>
      </c>
      <c r="Q21">
        <v>10480266.993000001</v>
      </c>
      <c r="R21">
        <v>16686003.805</v>
      </c>
      <c r="S21">
        <v>2713621.9950000001</v>
      </c>
      <c r="T21">
        <v>10298490.75</v>
      </c>
      <c r="U21">
        <v>4558955.915</v>
      </c>
      <c r="V21">
        <v>583942.88500000001</v>
      </c>
      <c r="X21" s="15">
        <v>2021</v>
      </c>
      <c r="Y21" s="20">
        <f t="shared" si="8"/>
        <v>6.0484834717357217E-2</v>
      </c>
      <c r="Z21" s="20">
        <f t="shared" si="9"/>
        <v>-6.182896461971623E-2</v>
      </c>
      <c r="AA21" s="21">
        <f t="shared" si="10"/>
        <v>5.3303185557150114E-2</v>
      </c>
      <c r="AB21" s="21">
        <f t="shared" si="11"/>
        <v>-5.4582404219292991E-4</v>
      </c>
      <c r="AC21" s="21">
        <f t="shared" si="12"/>
        <v>2.8506997389308217E-2</v>
      </c>
      <c r="AD21" s="21">
        <f t="shared" si="13"/>
        <v>2.1863577353664568E-2</v>
      </c>
      <c r="AE21" s="21">
        <f t="shared" si="14"/>
        <v>-9.0235481977052117E-4</v>
      </c>
    </row>
    <row r="22" spans="15:32" x14ac:dyDescent="0.4">
      <c r="O22" s="9" t="s">
        <v>87</v>
      </c>
      <c r="P22">
        <v>23440966.467999998</v>
      </c>
      <c r="Q22">
        <v>10061070.120999999</v>
      </c>
      <c r="R22">
        <v>16307219.82</v>
      </c>
      <c r="S22">
        <v>2637664.9679999999</v>
      </c>
      <c r="T22">
        <v>9791069.3680000007</v>
      </c>
      <c r="U22">
        <v>4483946.023</v>
      </c>
      <c r="V22">
        <v>531372.54399999999</v>
      </c>
      <c r="X22" s="15">
        <v>2022</v>
      </c>
      <c r="Y22" s="20">
        <f t="shared" si="8"/>
        <v>3.7097570841591265E-2</v>
      </c>
      <c r="Z22" s="20">
        <f t="shared" si="9"/>
        <v>-3.6970557865695655E-2</v>
      </c>
      <c r="AA22" s="21">
        <f t="shared" si="10"/>
        <v>3.1986728770929486E-2</v>
      </c>
      <c r="AB22" s="21">
        <f t="shared" si="11"/>
        <v>2.2780454809770184E-3</v>
      </c>
      <c r="AC22" s="21">
        <f t="shared" si="12"/>
        <v>3.8620478775765833E-2</v>
      </c>
      <c r="AD22" s="21">
        <f t="shared" si="13"/>
        <v>1.388640120626535E-2</v>
      </c>
      <c r="AE22" s="21">
        <f t="shared" si="14"/>
        <v>1.6883675023850538E-3</v>
      </c>
    </row>
    <row r="23" spans="15:32" x14ac:dyDescent="0.4">
      <c r="O23" s="9" t="s">
        <v>88</v>
      </c>
      <c r="P23">
        <v>24310226.022999998</v>
      </c>
      <c r="Q23">
        <v>10844277.623</v>
      </c>
      <c r="R23">
        <v>16740086.921</v>
      </c>
      <c r="S23">
        <v>2700320.196</v>
      </c>
      <c r="T23">
        <v>10574060.147</v>
      </c>
      <c r="U23">
        <v>4604890.4359999998</v>
      </c>
      <c r="V23">
        <v>548308.745</v>
      </c>
      <c r="X23" s="15">
        <v>2023</v>
      </c>
      <c r="Y23" s="20">
        <f t="shared" si="8"/>
        <v>3.1067964110537138E-2</v>
      </c>
      <c r="Z23" s="20">
        <f t="shared" si="9"/>
        <v>-1.6492799902547511E-2</v>
      </c>
      <c r="AA23" s="21">
        <f t="shared" si="10"/>
        <v>2.80711495018298E-2</v>
      </c>
      <c r="AB23" s="21">
        <f t="shared" si="11"/>
        <v>2.7052448946509626E-3</v>
      </c>
      <c r="AC23" s="21">
        <f t="shared" si="12"/>
        <v>-3.0625386920984023E-2</v>
      </c>
      <c r="AD23" s="21">
        <f t="shared" si="13"/>
        <v>2.3911890645969987E-2</v>
      </c>
      <c r="AE23" s="21">
        <f t="shared" si="14"/>
        <v>6.0818276331796152E-3</v>
      </c>
    </row>
    <row r="24" spans="15:32" x14ac:dyDescent="0.4">
      <c r="O24" s="9" t="s">
        <v>89</v>
      </c>
      <c r="P24">
        <v>24289301.401000001</v>
      </c>
      <c r="Q24">
        <v>11527416.971999999</v>
      </c>
      <c r="R24">
        <v>16943809.984999999</v>
      </c>
      <c r="S24">
        <v>2694823.34</v>
      </c>
      <c r="T24">
        <v>10757379.710000001</v>
      </c>
      <c r="U24">
        <v>4582128.8360000001</v>
      </c>
      <c r="V24">
        <v>588625.46799999999</v>
      </c>
      <c r="X24" s="15">
        <v>2024</v>
      </c>
      <c r="Y24" s="20">
        <f t="shared" si="8"/>
        <v>1.350576313860441E-2</v>
      </c>
      <c r="Z24" s="20">
        <f t="shared" si="9"/>
        <v>-1.4683223403676291E-2</v>
      </c>
      <c r="AA24" s="21">
        <f t="shared" si="10"/>
        <v>1.7710128101020142E-2</v>
      </c>
      <c r="AB24" s="21">
        <f t="shared" si="11"/>
        <v>4.0711594980703805E-3</v>
      </c>
      <c r="AC24" s="21">
        <f t="shared" si="12"/>
        <v>1.3499326663829556E-2</v>
      </c>
      <c r="AD24" s="21">
        <f t="shared" si="13"/>
        <v>-1.2299069240355848E-3</v>
      </c>
      <c r="AE24" s="21">
        <f t="shared" si="14"/>
        <v>9.5570980620609085E-3</v>
      </c>
    </row>
    <row r="25" spans="15:32" x14ac:dyDescent="0.4">
      <c r="O25" s="9" t="s">
        <v>90</v>
      </c>
      <c r="P25">
        <v>25051880.081</v>
      </c>
      <c r="Q25">
        <v>11146888.308</v>
      </c>
      <c r="R25">
        <v>17395313.245999999</v>
      </c>
      <c r="S25">
        <v>2750423.5469999998</v>
      </c>
      <c r="T25">
        <v>10526441.343</v>
      </c>
      <c r="U25">
        <v>4927289.7120000003</v>
      </c>
      <c r="V25">
        <v>686686.50699999998</v>
      </c>
      <c r="X25" s="15">
        <v>2025</v>
      </c>
      <c r="Y25" s="20">
        <f t="shared" si="8"/>
        <v>5.6168345615013049E-3</v>
      </c>
      <c r="Z25" s="20">
        <f t="shared" si="9"/>
        <v>-1.4264877152481275E-2</v>
      </c>
      <c r="AA25" s="21">
        <f t="shared" si="10"/>
        <v>7.8085786239561524E-3</v>
      </c>
      <c r="AB25" s="21">
        <f t="shared" si="11"/>
        <v>1.4281184757517662E-3</v>
      </c>
      <c r="AC25" s="21">
        <f t="shared" si="12"/>
        <v>2.7440615277450828E-2</v>
      </c>
      <c r="AD25" s="21">
        <f t="shared" si="13"/>
        <v>-8.1990062940867237E-3</v>
      </c>
      <c r="AE25" s="21">
        <f t="shared" si="14"/>
        <v>-7.2568563092342388E-3</v>
      </c>
      <c r="AF25" s="16"/>
    </row>
    <row r="26" spans="15:32" x14ac:dyDescent="0.4">
      <c r="O26" s="9" t="s">
        <v>13</v>
      </c>
      <c r="P26">
        <v>24330026.109000001</v>
      </c>
      <c r="Q26">
        <v>11003044.017000001</v>
      </c>
      <c r="R26">
        <v>16857577.105</v>
      </c>
      <c r="S26">
        <v>2686068.5759999999</v>
      </c>
      <c r="T26">
        <v>9733957.75</v>
      </c>
      <c r="U26">
        <v>4937417.2520000003</v>
      </c>
      <c r="V26">
        <v>620949.77899999998</v>
      </c>
      <c r="X26" s="15"/>
      <c r="AF26" s="22"/>
    </row>
    <row r="27" spans="15:32" x14ac:dyDescent="0.4">
      <c r="O27" s="9" t="s">
        <v>14</v>
      </c>
      <c r="P27">
        <v>25106433.32</v>
      </c>
      <c r="Q27">
        <v>11499146.698999999</v>
      </c>
      <c r="R27">
        <v>17356754.497000001</v>
      </c>
      <c r="S27">
        <v>2757364.6740000001</v>
      </c>
      <c r="T27">
        <v>9855391.0869999994</v>
      </c>
      <c r="U27">
        <v>5155019.2829999998</v>
      </c>
      <c r="V27">
        <v>660655.01100000006</v>
      </c>
      <c r="X27" s="15"/>
      <c r="AF27" s="22"/>
    </row>
    <row r="28" spans="15:32" x14ac:dyDescent="0.4">
      <c r="O28" s="9" t="s">
        <v>15</v>
      </c>
      <c r="P28">
        <v>25090504.905000001</v>
      </c>
      <c r="Q28">
        <v>11481006.054</v>
      </c>
      <c r="R28">
        <v>17799669.798999999</v>
      </c>
      <c r="S28">
        <v>2755490.0449999999</v>
      </c>
      <c r="T28">
        <v>9367300.5590000004</v>
      </c>
      <c r="U28">
        <v>5239218.1849999996</v>
      </c>
      <c r="V28">
        <v>777373.92200000002</v>
      </c>
      <c r="X28" s="23" t="s">
        <v>91</v>
      </c>
      <c r="AF28" s="22"/>
    </row>
    <row r="29" spans="15:32" x14ac:dyDescent="0.4">
      <c r="O29" s="9" t="s">
        <v>16</v>
      </c>
      <c r="P29">
        <v>25581872.028999999</v>
      </c>
      <c r="Q29">
        <v>11197781.35</v>
      </c>
      <c r="R29">
        <v>18182598.682999998</v>
      </c>
      <c r="S29">
        <v>2846967.4049999998</v>
      </c>
      <c r="T29">
        <v>9718809.6520000007</v>
      </c>
      <c r="U29">
        <v>5588262.5159999998</v>
      </c>
      <c r="V29">
        <v>886513.63500000001</v>
      </c>
      <c r="X29" s="15" t="s">
        <v>7</v>
      </c>
      <c r="Y29" t="s">
        <v>63</v>
      </c>
      <c r="Z29" t="s">
        <v>64</v>
      </c>
      <c r="AA29" t="s">
        <v>65</v>
      </c>
      <c r="AB29" t="s">
        <v>66</v>
      </c>
      <c r="AC29" t="s">
        <v>67</v>
      </c>
      <c r="AD29" t="s">
        <v>68</v>
      </c>
      <c r="AE29" t="s">
        <v>69</v>
      </c>
      <c r="AF29" s="22"/>
    </row>
    <row r="30" spans="15:32" x14ac:dyDescent="0.4">
      <c r="O30" s="9" t="s">
        <v>25</v>
      </c>
      <c r="P30">
        <v>24743029.862</v>
      </c>
      <c r="Q30">
        <v>11042731.183</v>
      </c>
      <c r="R30">
        <v>17595209.16</v>
      </c>
      <c r="S30">
        <v>2764664.077</v>
      </c>
      <c r="T30">
        <v>9134627.3399999999</v>
      </c>
      <c r="U30">
        <v>5051118.3</v>
      </c>
      <c r="V30">
        <v>932719.41</v>
      </c>
      <c r="X30" s="15">
        <v>2019</v>
      </c>
      <c r="Y30" s="24">
        <f>Y19*100</f>
        <v>-0.39269051329865468</v>
      </c>
      <c r="Z30" s="24">
        <f t="shared" ref="Z30:AE30" si="15">Z19*100</f>
        <v>0.44502453946089821</v>
      </c>
      <c r="AA30" s="24">
        <f t="shared" si="15"/>
        <v>0.60770179143607284</v>
      </c>
      <c r="AB30" s="24">
        <f t="shared" si="15"/>
        <v>-0.19565264783515607</v>
      </c>
      <c r="AC30" s="24">
        <f t="shared" si="15"/>
        <v>0.45457403578957645</v>
      </c>
      <c r="AD30" s="24">
        <f t="shared" si="15"/>
        <v>-0.57034762791005056</v>
      </c>
      <c r="AE30" s="24">
        <f t="shared" si="15"/>
        <v>-0.45077093765538162</v>
      </c>
      <c r="AF30" s="22"/>
    </row>
    <row r="31" spans="15:32" x14ac:dyDescent="0.4">
      <c r="O31" s="9" t="s">
        <v>26</v>
      </c>
      <c r="P31">
        <v>25625594.212000001</v>
      </c>
      <c r="Q31">
        <v>11761415.289999999</v>
      </c>
      <c r="R31">
        <v>18056385.223000001</v>
      </c>
      <c r="S31">
        <v>2886724.6860000002</v>
      </c>
      <c r="T31">
        <v>9712638.4690000005</v>
      </c>
      <c r="U31">
        <v>5267379.3600000003</v>
      </c>
      <c r="V31">
        <v>946328.929</v>
      </c>
      <c r="X31" s="15">
        <v>2020</v>
      </c>
      <c r="Y31" s="24">
        <f t="shared" ref="Y31:AE36" si="16">Y20*100</f>
        <v>-8.354034591887805</v>
      </c>
      <c r="Z31" s="24">
        <f t="shared" si="16"/>
        <v>4.9023633511362101</v>
      </c>
      <c r="AA31" s="24">
        <f t="shared" si="16"/>
        <v>-7.3249383303557476</v>
      </c>
      <c r="AB31" s="24">
        <f t="shared" si="16"/>
        <v>-8.1216866607277921E-2</v>
      </c>
      <c r="AC31" s="24">
        <f t="shared" si="16"/>
        <v>-2.7831842619068627</v>
      </c>
      <c r="AD31" s="24">
        <f t="shared" si="16"/>
        <v>-3.651784917086291</v>
      </c>
      <c r="AE31" s="24">
        <f t="shared" si="16"/>
        <v>-0.14389172611701412</v>
      </c>
      <c r="AF31" s="22"/>
    </row>
    <row r="32" spans="15:32" x14ac:dyDescent="0.4">
      <c r="O32" s="9" t="s">
        <v>27</v>
      </c>
      <c r="P32">
        <v>25442015.954999998</v>
      </c>
      <c r="Q32">
        <v>11995257.49</v>
      </c>
      <c r="R32">
        <v>18231998.940000001</v>
      </c>
      <c r="S32">
        <v>2869648.1340000001</v>
      </c>
      <c r="T32">
        <v>10200689.037</v>
      </c>
      <c r="U32">
        <v>5173017.4720000001</v>
      </c>
      <c r="V32">
        <v>1013950.249</v>
      </c>
      <c r="X32" s="15">
        <v>2021</v>
      </c>
      <c r="Y32" s="24">
        <f t="shared" si="16"/>
        <v>6.0484834717357217</v>
      </c>
      <c r="Z32" s="24">
        <f t="shared" si="16"/>
        <v>-6.1828964619716231</v>
      </c>
      <c r="AA32" s="24">
        <f t="shared" si="16"/>
        <v>5.330318555715011</v>
      </c>
      <c r="AB32" s="24">
        <f t="shared" si="16"/>
        <v>-5.4582404219292988E-2</v>
      </c>
      <c r="AC32" s="24">
        <f t="shared" si="16"/>
        <v>2.8506997389308215</v>
      </c>
      <c r="AD32" s="24">
        <f t="shared" si="16"/>
        <v>2.1863577353664567</v>
      </c>
      <c r="AE32" s="24">
        <f t="shared" si="16"/>
        <v>-9.0235481977052112E-2</v>
      </c>
      <c r="AF32" s="22"/>
    </row>
    <row r="33" spans="15:31" x14ac:dyDescent="0.4">
      <c r="O33" s="9" t="s">
        <v>28</v>
      </c>
      <c r="P33">
        <v>25650242.566</v>
      </c>
      <c r="Q33">
        <v>11851494.566</v>
      </c>
      <c r="R33">
        <v>18109891.989</v>
      </c>
      <c r="S33">
        <v>2932412.8429999999</v>
      </c>
      <c r="T33">
        <v>10978906.085999999</v>
      </c>
      <c r="U33">
        <v>5305277.5530000003</v>
      </c>
      <c r="V33">
        <v>1009243.725</v>
      </c>
      <c r="X33" s="15">
        <v>2022</v>
      </c>
      <c r="Y33" s="24">
        <f t="shared" si="16"/>
        <v>3.7097570841591265</v>
      </c>
      <c r="Z33" s="24">
        <f t="shared" si="16"/>
        <v>-3.6970557865695657</v>
      </c>
      <c r="AA33" s="24">
        <f t="shared" si="16"/>
        <v>3.1986728770929487</v>
      </c>
      <c r="AB33" s="24">
        <f t="shared" si="16"/>
        <v>0.22780454809770184</v>
      </c>
      <c r="AC33" s="24">
        <f t="shared" si="16"/>
        <v>3.8620478775765834</v>
      </c>
      <c r="AD33" s="24">
        <f t="shared" si="16"/>
        <v>1.3886401206265351</v>
      </c>
      <c r="AE33" s="24">
        <f t="shared" si="16"/>
        <v>0.16883675023850539</v>
      </c>
    </row>
    <row r="34" spans="15:31" x14ac:dyDescent="0.4">
      <c r="O34" s="9" t="s">
        <v>92</v>
      </c>
      <c r="P34">
        <v>24882362.659000002</v>
      </c>
      <c r="Q34">
        <v>10789695.601</v>
      </c>
      <c r="R34">
        <v>17412966.723000001</v>
      </c>
      <c r="S34">
        <v>2832596.6770000001</v>
      </c>
      <c r="T34">
        <v>10318212.046</v>
      </c>
      <c r="U34">
        <v>4859575.3</v>
      </c>
      <c r="V34">
        <v>773974.41500000004</v>
      </c>
      <c r="X34" s="15">
        <v>2023</v>
      </c>
      <c r="Y34" s="24">
        <f t="shared" si="16"/>
        <v>3.1067964110537138</v>
      </c>
      <c r="Z34" s="24">
        <f t="shared" si="16"/>
        <v>-1.649279990254751</v>
      </c>
      <c r="AA34" s="24">
        <f t="shared" si="16"/>
        <v>2.8071149501829802</v>
      </c>
      <c r="AB34" s="24">
        <f t="shared" si="16"/>
        <v>0.27052448946509627</v>
      </c>
      <c r="AC34" s="24">
        <f t="shared" si="16"/>
        <v>-3.0625386920984021</v>
      </c>
      <c r="AD34" s="24">
        <f t="shared" si="16"/>
        <v>2.3911890645969986</v>
      </c>
      <c r="AE34" s="24">
        <f t="shared" si="16"/>
        <v>0.60818276331796151</v>
      </c>
    </row>
    <row r="35" spans="15:31" x14ac:dyDescent="0.4">
      <c r="O35" s="9" t="s">
        <v>38</v>
      </c>
      <c r="P35">
        <v>25611244.013</v>
      </c>
      <c r="Q35">
        <v>11779623.002</v>
      </c>
      <c r="R35">
        <v>18008181.651000001</v>
      </c>
      <c r="S35">
        <v>2910999.6340000001</v>
      </c>
      <c r="T35">
        <v>10710258.125</v>
      </c>
      <c r="U35">
        <v>4955151.6260000002</v>
      </c>
      <c r="V35">
        <v>752432.61899999995</v>
      </c>
      <c r="X35" s="15">
        <v>2024</v>
      </c>
      <c r="Y35" s="24">
        <f t="shared" si="16"/>
        <v>1.350576313860441</v>
      </c>
      <c r="Z35" s="24">
        <f t="shared" si="16"/>
        <v>-1.4683223403676291</v>
      </c>
      <c r="AA35" s="24">
        <f t="shared" si="16"/>
        <v>1.7710128101020142</v>
      </c>
      <c r="AB35" s="24">
        <f t="shared" si="16"/>
        <v>0.40711594980703802</v>
      </c>
      <c r="AC35" s="24">
        <f t="shared" si="16"/>
        <v>1.3499326663829556</v>
      </c>
      <c r="AD35" s="24">
        <f t="shared" si="16"/>
        <v>-0.12299069240355848</v>
      </c>
      <c r="AE35" s="24">
        <f t="shared" si="16"/>
        <v>0.95570980620609081</v>
      </c>
    </row>
    <row r="36" spans="15:31" x14ac:dyDescent="0.4">
      <c r="O36" s="9" t="s">
        <v>39</v>
      </c>
      <c r="P36">
        <v>25428708.199000001</v>
      </c>
      <c r="Q36">
        <v>12458385.572000001</v>
      </c>
      <c r="R36">
        <v>18534514.510000002</v>
      </c>
      <c r="S36">
        <v>2881755.085</v>
      </c>
      <c r="T36">
        <v>10571725.243000001</v>
      </c>
      <c r="U36">
        <v>4925296.6100000003</v>
      </c>
      <c r="V36">
        <v>782218.348</v>
      </c>
      <c r="X36" s="15">
        <v>2025</v>
      </c>
      <c r="Y36" s="24">
        <f t="shared" si="16"/>
        <v>0.56168345615013049</v>
      </c>
      <c r="Z36" s="24">
        <f t="shared" si="16"/>
        <v>-1.4264877152481275</v>
      </c>
      <c r="AA36" s="24">
        <f t="shared" si="16"/>
        <v>0.78085786239561528</v>
      </c>
      <c r="AB36" s="24">
        <f t="shared" si="16"/>
        <v>0.14281184757517662</v>
      </c>
      <c r="AC36" s="24">
        <f t="shared" si="16"/>
        <v>2.7440615277450826</v>
      </c>
      <c r="AD36" s="24">
        <f t="shared" si="16"/>
        <v>-0.81990062940867237</v>
      </c>
      <c r="AE36" s="24">
        <f t="shared" si="16"/>
        <v>-0.72568563092342386</v>
      </c>
    </row>
    <row r="37" spans="15:31" x14ac:dyDescent="0.4">
      <c r="O37" s="9" t="s">
        <v>40</v>
      </c>
      <c r="P37">
        <v>26108456.715999998</v>
      </c>
      <c r="Q37">
        <v>13070521.380000001</v>
      </c>
      <c r="R37">
        <v>18834537.73</v>
      </c>
      <c r="S37">
        <v>2972996.5049999999</v>
      </c>
      <c r="T37">
        <v>11210814.562999999</v>
      </c>
      <c r="U37">
        <v>5224890.7340000002</v>
      </c>
      <c r="V37">
        <v>857329.88500000001</v>
      </c>
      <c r="X37" s="15"/>
    </row>
    <row r="38" spans="15:31" x14ac:dyDescent="0.4">
      <c r="X38" s="15"/>
    </row>
    <row r="39" spans="15:31" x14ac:dyDescent="0.4">
      <c r="O39" s="14" t="s">
        <v>93</v>
      </c>
      <c r="P39" s="14"/>
      <c r="Q39" s="14"/>
      <c r="R39" s="14"/>
      <c r="S39" s="14"/>
      <c r="T39" s="14"/>
      <c r="U39" s="14"/>
      <c r="V39" s="14"/>
      <c r="X39" s="15"/>
    </row>
    <row r="40" spans="15:31" x14ac:dyDescent="0.4">
      <c r="O40" s="14" t="s">
        <v>94</v>
      </c>
      <c r="P40" s="14"/>
      <c r="Q40" s="14"/>
      <c r="R40" s="14"/>
      <c r="S40" s="14"/>
      <c r="T40" s="14"/>
      <c r="U40" s="14"/>
      <c r="V40" s="14"/>
      <c r="X40" s="15"/>
    </row>
    <row r="41" spans="15:31" x14ac:dyDescent="0.4">
      <c r="O41" s="14" t="s">
        <v>95</v>
      </c>
      <c r="P41" s="14"/>
      <c r="Q41" s="14"/>
      <c r="R41" s="14"/>
      <c r="S41" s="14"/>
      <c r="T41" s="14"/>
      <c r="U41" s="14"/>
      <c r="V41" s="14"/>
      <c r="X41" s="15"/>
    </row>
    <row r="42" spans="15:31" x14ac:dyDescent="0.4">
      <c r="O42" s="14" t="s">
        <v>96</v>
      </c>
      <c r="P42" s="14"/>
      <c r="Q42" s="14"/>
      <c r="R42" s="14"/>
      <c r="S42" s="14"/>
      <c r="T42" s="14"/>
      <c r="U42" s="14"/>
      <c r="V42" s="14"/>
      <c r="X42" s="15"/>
    </row>
    <row r="43" spans="15:31" x14ac:dyDescent="0.4">
      <c r="O43" s="14" t="s">
        <v>52</v>
      </c>
      <c r="P43" s="14"/>
      <c r="Q43" s="14"/>
      <c r="R43" s="14"/>
      <c r="S43" s="14"/>
      <c r="T43" s="14"/>
      <c r="U43" s="14"/>
      <c r="V43" s="14"/>
      <c r="X43" s="15"/>
    </row>
    <row r="44" spans="15:31" x14ac:dyDescent="0.4">
      <c r="O44" s="14" t="s">
        <v>97</v>
      </c>
      <c r="P44" s="14"/>
      <c r="Q44" s="14"/>
      <c r="R44" s="14"/>
      <c r="S44" s="14"/>
      <c r="T44" s="14"/>
      <c r="U44" s="14"/>
      <c r="V44" s="14"/>
      <c r="X44" s="15"/>
    </row>
    <row r="45" spans="15:31" x14ac:dyDescent="0.4">
      <c r="X45" s="15"/>
    </row>
  </sheetData>
  <mergeCells count="6">
    <mergeCell ref="O39:V39"/>
    <mergeCell ref="O40:V40"/>
    <mergeCell ref="O41:V41"/>
    <mergeCell ref="O42:V42"/>
    <mergeCell ref="O43:V43"/>
    <mergeCell ref="O44:V44"/>
  </mergeCells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INFLACIÓN </vt:lpstr>
      <vt:lpstr>PIB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VALERIA ORNELAS CRUCES</dc:creator>
  <cp:lastModifiedBy>ANA VALERIA ORNELAS CRUCES</cp:lastModifiedBy>
  <dcterms:created xsi:type="dcterms:W3CDTF">2026-06-03T18:51:53Z</dcterms:created>
  <dcterms:modified xsi:type="dcterms:W3CDTF">2026-06-03T18:55:24Z</dcterms:modified>
</cp:coreProperties>
</file>